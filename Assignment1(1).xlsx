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013f17716c1574a/Desktop/ASSIGNMENT/Winter 2025/MIST/"/>
    </mc:Choice>
  </mc:AlternateContent>
  <xr:revisionPtr revIDLastSave="110" documentId="13_ncr:1_{BBC6FC31-A46B-42D3-9CF1-B7F3DA2EBF99}" xr6:coauthVersionLast="47" xr6:coauthVersionMax="47" xr10:uidLastSave="{BBB579DA-089A-41E2-B139-4B5890ACFBCD}"/>
  <bookViews>
    <workbookView xWindow="-108" yWindow="-108" windowWidth="23256" windowHeight="12456" xr2:uid="{00000000-000D-0000-FFFF-FFFF00000000}"/>
  </bookViews>
  <sheets>
    <sheet name="Invoices" sheetId="1" r:id="rId1"/>
    <sheet name="Questions" sheetId="2" r:id="rId2"/>
  </sheets>
  <definedNames>
    <definedName name="_xlnm._FilterDatabase" localSheetId="0" hidden="1">Invoices!$C$1:$C$1501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2" i="1"/>
  <c r="B6" i="2"/>
  <c r="B7" i="2"/>
  <c r="B10" i="2"/>
  <c r="B11" i="2"/>
  <c r="B9" i="2"/>
</calcChain>
</file>

<file path=xl/sharedStrings.xml><?xml version="1.0" encoding="utf-8"?>
<sst xmlns="http://schemas.openxmlformats.org/spreadsheetml/2006/main" count="3211" uniqueCount="171">
  <si>
    <t>InvNum</t>
  </si>
  <si>
    <t>CustID</t>
  </si>
  <si>
    <t>ItemNum</t>
  </si>
  <si>
    <t>UnitPrice</t>
  </si>
  <si>
    <t>Qty</t>
  </si>
  <si>
    <t>InvoiceTotal</t>
  </si>
  <si>
    <t>InvoiceDate</t>
  </si>
  <si>
    <t>PaymentDate</t>
  </si>
  <si>
    <t>WD343</t>
  </si>
  <si>
    <t>GP381</t>
  </si>
  <si>
    <t>FL553</t>
  </si>
  <si>
    <t>RR309</t>
  </si>
  <si>
    <t>PL284</t>
  </si>
  <si>
    <t>MT731</t>
  </si>
  <si>
    <t>SV938</t>
  </si>
  <si>
    <t>CB356</t>
  </si>
  <si>
    <t>HG412</t>
  </si>
  <si>
    <t>GH786</t>
  </si>
  <si>
    <t>HN871</t>
  </si>
  <si>
    <t>BL462</t>
  </si>
  <si>
    <t>GB310</t>
  </si>
  <si>
    <t>BZ515</t>
  </si>
  <si>
    <t>WI591</t>
  </si>
  <si>
    <t>MS200</t>
  </si>
  <si>
    <t>HL575</t>
  </si>
  <si>
    <t>OS572</t>
  </si>
  <si>
    <t>RR354</t>
  </si>
  <si>
    <t>SL727</t>
  </si>
  <si>
    <t>IT022</t>
  </si>
  <si>
    <t>IT030</t>
  </si>
  <si>
    <t>IT034</t>
  </si>
  <si>
    <t>IT019</t>
  </si>
  <si>
    <t>IT044</t>
  </si>
  <si>
    <t>IT005</t>
  </si>
  <si>
    <t>IT040</t>
  </si>
  <si>
    <t>IT041</t>
  </si>
  <si>
    <t>IT032</t>
  </si>
  <si>
    <t>IT028</t>
  </si>
  <si>
    <t>IT045</t>
  </si>
  <si>
    <t>IT042</t>
  </si>
  <si>
    <t>IT037</t>
  </si>
  <si>
    <t>IT002</t>
  </si>
  <si>
    <t>IT017</t>
  </si>
  <si>
    <t>IT025</t>
  </si>
  <si>
    <t>IT043</t>
  </si>
  <si>
    <t>IT027</t>
  </si>
  <si>
    <t>IT047</t>
  </si>
  <si>
    <t>IT021</t>
  </si>
  <si>
    <t>IT038</t>
  </si>
  <si>
    <t>IT016</t>
  </si>
  <si>
    <t>IT023</t>
  </si>
  <si>
    <t>IT001</t>
  </si>
  <si>
    <t>IT020</t>
  </si>
  <si>
    <t>IT010</t>
  </si>
  <si>
    <t>IT011</t>
  </si>
  <si>
    <t>IT009</t>
  </si>
  <si>
    <t>IT049</t>
  </si>
  <si>
    <t>IT036</t>
  </si>
  <si>
    <t>IT000</t>
  </si>
  <si>
    <t>IT003</t>
  </si>
  <si>
    <t>IT013</t>
  </si>
  <si>
    <t>IT033</t>
  </si>
  <si>
    <t>IT026</t>
  </si>
  <si>
    <t>IT004</t>
  </si>
  <si>
    <t>IT031</t>
  </si>
  <si>
    <t>IT035</t>
  </si>
  <si>
    <t>IT039</t>
  </si>
  <si>
    <t>IT008</t>
  </si>
  <si>
    <t>IT046</t>
  </si>
  <si>
    <t>IT014</t>
  </si>
  <si>
    <t>IT007</t>
  </si>
  <si>
    <t>IT006</t>
  </si>
  <si>
    <t>IT018</t>
  </si>
  <si>
    <t>IT048</t>
  </si>
  <si>
    <t>IT024</t>
  </si>
  <si>
    <t>IT012</t>
  </si>
  <si>
    <t>IT029</t>
  </si>
  <si>
    <t>IT015</t>
  </si>
  <si>
    <t>EliteTech Router</t>
  </si>
  <si>
    <t>BrightEdge Headphones</t>
  </si>
  <si>
    <t>Streamline Headphones</t>
  </si>
  <si>
    <t>UltraSys Webcam</t>
  </si>
  <si>
    <t>EliteTech Mouse</t>
  </si>
  <si>
    <t>OptiView Monitor</t>
  </si>
  <si>
    <t>PowerPlus Headphones</t>
  </si>
  <si>
    <t>NextGen Router</t>
  </si>
  <si>
    <t>EliteTech Monitor</t>
  </si>
  <si>
    <t>PowerPlus Smartphone</t>
  </si>
  <si>
    <t>PrimeGadgets Webcam</t>
  </si>
  <si>
    <t>EliteTech Charger</t>
  </si>
  <si>
    <t>OptiView Headphones</t>
  </si>
  <si>
    <t>CoreDevices Webcam</t>
  </si>
  <si>
    <t>PrimeGadgets Tablet</t>
  </si>
  <si>
    <t>PrimeGadgets Mouse</t>
  </si>
  <si>
    <t>PrimeGadgets Charger</t>
  </si>
  <si>
    <t>PowerPlus Charger</t>
  </si>
  <si>
    <t>UltraSys Tablet</t>
  </si>
  <si>
    <t>TechNova Headphones</t>
  </si>
  <si>
    <t>BrightEdge Charger</t>
  </si>
  <si>
    <t>CoreDevices Router</t>
  </si>
  <si>
    <t>Streamline Keyboard</t>
  </si>
  <si>
    <t>TechNova Mouse</t>
  </si>
  <si>
    <t>Streamline Mouse</t>
  </si>
  <si>
    <t>EliteTech Webcam</t>
  </si>
  <si>
    <t>CoreDevices Laptop</t>
  </si>
  <si>
    <t>EliteTech Headphones</t>
  </si>
  <si>
    <t>OptiView Router</t>
  </si>
  <si>
    <t>TechNova Smartphone</t>
  </si>
  <si>
    <t>Streamline Laptop</t>
  </si>
  <si>
    <t>Streamline Monitor</t>
  </si>
  <si>
    <t>PrimeGadgets Monitor</t>
  </si>
  <si>
    <t>NextGen Mouse</t>
  </si>
  <si>
    <t>PowerPlus Router</t>
  </si>
  <si>
    <t>EliteTech Tablet</t>
  </si>
  <si>
    <t>TechNova Tablet</t>
  </si>
  <si>
    <t>UltraSys Monitor</t>
  </si>
  <si>
    <t>PrimeGadgets Headphones</t>
  </si>
  <si>
    <t>CustName</t>
  </si>
  <si>
    <t>Oconnor-Harris</t>
  </si>
  <si>
    <t>Ferguson LLC</t>
  </si>
  <si>
    <t>Price Ltd</t>
  </si>
  <si>
    <t>Welch Inc</t>
  </si>
  <si>
    <t>Guzman, Mcgee and Hill</t>
  </si>
  <si>
    <t>Beck LLC</t>
  </si>
  <si>
    <t>Glenn PLC</t>
  </si>
  <si>
    <t>Sims, Taylor and Vincent</t>
  </si>
  <si>
    <t>Hudson Group</t>
  </si>
  <si>
    <t>Wilson, Holland and Diaz</t>
  </si>
  <si>
    <t>Harris-Allen</t>
  </si>
  <si>
    <t>Gonzalez, Ford and Brown</t>
  </si>
  <si>
    <t>Barber-Gonzalez</t>
  </si>
  <si>
    <t>Mcdaniel-Scott</t>
  </si>
  <si>
    <t>Rosales, King and Romero</t>
  </si>
  <si>
    <t>Smith-Mitchell</t>
  </si>
  <si>
    <t>Moore-Hines</t>
  </si>
  <si>
    <t>Hoffman-Rangel</t>
  </si>
  <si>
    <t>Robinson-Tucker</t>
  </si>
  <si>
    <t>Cooper, Jones and Butler</t>
  </si>
  <si>
    <t>ItemDescription</t>
  </si>
  <si>
    <t>Q2. Provide a brief synopsis of the number of invoices and total dollar amount by month for the last two months of 2023.</t>
  </si>
  <si>
    <t>Q3. The boss has some Cruise Packages to gift the top 3 Customers. Based on sales, which customers should the boss contact and offer the packages to?</t>
  </si>
  <si>
    <t>Q5. Create a calculated column to determine if any invoice payment days are more than 15 days late. Provide details.</t>
  </si>
  <si>
    <t>Q4. For supply chain planning in 2024, what is the total quantity of each item sold per month ?</t>
  </si>
  <si>
    <r>
      <t>Criteria for Grading</t>
    </r>
    <r>
      <rPr>
        <sz val="14"/>
        <color theme="1"/>
        <rFont val="Calibri"/>
        <family val="2"/>
        <scheme val="minor"/>
      </rPr>
      <t>:</t>
    </r>
  </si>
  <si>
    <r>
      <t>1. No Manual Computations</t>
    </r>
    <r>
      <rPr>
        <sz val="14"/>
        <color theme="1"/>
        <rFont val="Calibri"/>
        <family val="2"/>
        <scheme val="minor"/>
      </rPr>
      <t>: All results must be generated using Excel formulas such as VLOOKUP, Pivot Tables, SUMIFS, etc.</t>
    </r>
  </si>
  <si>
    <r>
      <t>2. Computational Accuracy</t>
    </r>
    <r>
      <rPr>
        <sz val="14"/>
        <color theme="1"/>
        <rFont val="Calibri"/>
        <family val="2"/>
        <scheme val="minor"/>
      </rPr>
      <t>: Ensure all formulas are correct and produce accurate results.</t>
    </r>
  </si>
  <si>
    <r>
      <t>3. Data Formatting</t>
    </r>
    <r>
      <rPr>
        <sz val="14"/>
        <color theme="1"/>
        <rFont val="Calibri"/>
        <family val="2"/>
        <scheme val="minor"/>
      </rPr>
      <t>: Consistent formatting should be applied, such as currency for dollar amounts and appropriate date formats.</t>
    </r>
  </si>
  <si>
    <r>
      <t xml:space="preserve">Questions:   Except </t>
    </r>
    <r>
      <rPr>
        <b/>
        <sz val="14"/>
        <color rgb="FFFF0000"/>
        <rFont val="Calibri"/>
        <family val="2"/>
        <scheme val="minor"/>
      </rPr>
      <t>Question 1,</t>
    </r>
    <r>
      <rPr>
        <b/>
        <sz val="14"/>
        <color theme="1"/>
        <rFont val="Calibri"/>
        <family val="2"/>
        <scheme val="minor"/>
      </rPr>
      <t xml:space="preserve"> Answer all other questions(Q2-Q5) only on this SHEET</t>
    </r>
  </si>
  <si>
    <t>Q1. Provide Customer Name for each CustID and item descriptions for each itemNum as new columns- in the Invoices Tab</t>
  </si>
  <si>
    <r>
      <t>4. Presentation and Neatness</t>
    </r>
    <r>
      <rPr>
        <sz val="14"/>
        <color theme="1"/>
        <rFont val="Calibri"/>
        <family val="2"/>
        <scheme val="minor"/>
      </rPr>
      <t>: Organized layout, easy-to-read structure, and use of appropriate charts / graphs/ short Comments where applicable.</t>
    </r>
  </si>
  <si>
    <t>Sum of InvoiceTotal</t>
  </si>
  <si>
    <t>Row Labels</t>
  </si>
  <si>
    <t>Grand Total</t>
  </si>
  <si>
    <t>Nov</t>
  </si>
  <si>
    <t>Dec</t>
  </si>
  <si>
    <t>Count of InvNum</t>
  </si>
  <si>
    <t>Sum of Qty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</si>
  <si>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</si>
  <si>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</si>
  <si>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</si>
  <si>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</si>
  <si>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</si>
  <si>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</si>
  <si>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</si>
  <si>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</si>
  <si>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</si>
  <si>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</si>
  <si>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//DOUBLE CLICK ON THE MONTH TO OPEN YEAR TAB TO GET ALL THE ITEMS SOLD PER MONTH FOR 2024 -&gt;</t>
  </si>
  <si>
    <t>total amount and invoice</t>
  </si>
  <si>
    <t>IsDelay</t>
  </si>
  <si>
    <t>I added a new column called IsDelay where I subtracted invoice date to payment date, if invoice 
date is later than payment date I get invalid, else I if the value is greater than 15 I get true (1), else I get value 0, then I counted all the 1 which I got 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</si>
</sst>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3" fillId="3" borderId="0" xfId="0" applyFont="1" applyFill="1"/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2" borderId="1" xfId="0" applyFont="1" applyFill="1" applyBorder="1" applyAlignment="1">
      <alignment horizontal="center" vertical="top"/>
    </xf>
    <xf numFmtId="0" fontId="6" fillId="0" borderId="0" xfId="0" applyFont="1"/>
    <xf numFmtId="164" fontId="6" fillId="0" borderId="0" xfId="0" applyNumberFormat="1" applyFont="1"/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left"/>
    </xf>
    <xf numFmtId="44" fontId="0" fillId="2" borderId="0" xfId="0" applyNumberFormat="1" applyFill="1"/>
    <xf numFmtId="0" fontId="2" fillId="4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left"/>
    </xf>
    <xf numFmtId="44" fontId="0" fillId="4" borderId="0" xfId="0" applyNumberFormat="1" applyFill="1"/>
    <xf numFmtId="0" fontId="2" fillId="5" borderId="0" xfId="0" applyFont="1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2" fillId="5" borderId="0" xfId="0" applyFont="1" applyFill="1"/>
    <xf numFmtId="0" fontId="0" fillId="4" borderId="0" xfId="0" applyNumberFormat="1" applyFill="1"/>
    <xf numFmtId="0" fontId="0" fillId="5" borderId="0" xfId="0" applyNumberFormat="1" applyFill="1"/>
    <xf numFmtId="0" fontId="5" fillId="2" borderId="2" xfId="0" applyFont="1" applyFill="1" applyBorder="1" applyAlignment="1">
      <alignment horizontal="center" vertical="top"/>
    </xf>
    <xf numFmtId="0" fontId="2" fillId="6" borderId="0" xfId="0" applyFont="1" applyFill="1" applyAlignment="1">
      <alignment vertical="center"/>
    </xf>
    <xf numFmtId="0" fontId="0" fillId="6" borderId="0" xfId="0" applyFill="1"/>
    <xf numFmtId="0" fontId="2" fillId="6" borderId="0" xfId="0" applyFont="1" applyFill="1" applyAlignment="1">
      <alignment wrapText="1"/>
    </xf>
  </cellXfs>
  <cellStyles count="1">
    <cellStyle name="Normal" xfId="0" builtinId="0"/>
  </cellStyles>
  <dxfs count="39"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34" formatCode="_-&quot;$&quot;* #,##0.00_-;\-&quot;$&quot;* #,##0.00_-;_-&quot;$&quot;* &quot;-&quot;??_-;_-@_-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34" formatCode="_-&quot;$&quot;* #,##0.00_-;\-&quot;$&quot;* #,##0.00_-;_-&quot;$&quot;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$&quot;* #,##0.00_-;\-&quot;$&quot;* #,##0.00_-;_-&quot;$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sav shakya" refreshedDate="45680.863798495368" createdVersion="8" refreshedVersion="8" minRefreshableVersion="3" recordCount="1500" xr:uid="{0D5434DF-6FC7-4122-9FD0-1DCAC80653AE}">
  <cacheSource type="worksheet">
    <worksheetSource ref="A1:H1501" sheet="Invoices"/>
  </cacheSource>
  <cacheFields count="14">
    <cacheField name="InvNum" numFmtId="0">
      <sharedItems containsSemiMixedTypes="0" containsString="0" containsNumber="1" containsInteger="1" minValue="10023" maxValue="99997"/>
    </cacheField>
    <cacheField name="CustID" numFmtId="0">
      <sharedItems count="20">
        <s v="WD343"/>
        <s v="GP381"/>
        <s v="FL553"/>
        <s v="RR309"/>
        <s v="PL284"/>
        <s v="MT731"/>
        <s v="SV938"/>
        <s v="CB356"/>
        <s v="HG412"/>
        <s v="GH786"/>
        <s v="HN871"/>
        <s v="BL462"/>
        <s v="GB310"/>
        <s v="BZ515"/>
        <s v="WI591"/>
        <s v="MS200"/>
        <s v="HL575"/>
        <s v="OS572"/>
        <s v="RR354"/>
        <s v="SL727"/>
      </sharedItems>
    </cacheField>
    <cacheField name="ItemNum" numFmtId="0">
      <sharedItems count="50">
        <s v="IT022"/>
        <s v="IT030"/>
        <s v="IT034"/>
        <s v="IT019"/>
        <s v="IT044"/>
        <s v="IT005"/>
        <s v="IT040"/>
        <s v="IT041"/>
        <s v="IT032"/>
        <s v="IT028"/>
        <s v="IT045"/>
        <s v="IT042"/>
        <s v="IT037"/>
        <s v="IT002"/>
        <s v="IT017"/>
        <s v="IT025"/>
        <s v="IT043"/>
        <s v="IT027"/>
        <s v="IT047"/>
        <s v="IT021"/>
        <s v="IT038"/>
        <s v="IT016"/>
        <s v="IT023"/>
        <s v="IT001"/>
        <s v="IT020"/>
        <s v="IT010"/>
        <s v="IT011"/>
        <s v="IT009"/>
        <s v="IT049"/>
        <s v="IT036"/>
        <s v="IT000"/>
        <s v="IT003"/>
        <s v="IT013"/>
        <s v="IT033"/>
        <s v="IT026"/>
        <s v="IT004"/>
        <s v="IT031"/>
        <s v="IT035"/>
        <s v="IT039"/>
        <s v="IT008"/>
        <s v="IT046"/>
        <s v="IT014"/>
        <s v="IT007"/>
        <s v="IT006"/>
        <s v="IT018"/>
        <s v="IT048"/>
        <s v="IT024"/>
        <s v="IT012"/>
        <s v="IT029"/>
        <s v="IT015"/>
      </sharedItems>
    </cacheField>
    <cacheField name="UnitPrice" numFmtId="0">
      <sharedItems containsSemiMixedTypes="0" containsString="0" containsNumber="1" minValue="45.72" maxValue="988.73"/>
    </cacheField>
    <cacheField name="Qty" numFmtId="0">
      <sharedItems containsSemiMixedTypes="0" containsString="0" containsNumber="1" containsInteger="1" minValue="1" maxValue="50"/>
    </cacheField>
    <cacheField name="InvoiceTotal" numFmtId="0">
      <sharedItems containsSemiMixedTypes="0" containsString="0" containsNumber="1" minValue="110.41" maxValue="49423.5"/>
    </cacheField>
    <cacheField name="InvoiceDate" numFmtId="164">
      <sharedItems containsSemiMixedTypes="0" containsNonDate="0" containsDate="1" containsString="0" minDate="2023-01-21T00:00:00" maxDate="2025-01-21T00:00:00" count="631">
        <d v="2023-11-21T00:00:00"/>
        <d v="2024-11-22T00:00:00"/>
        <d v="2024-06-24T00:00:00"/>
        <d v="2024-11-12T00:00:00"/>
        <d v="2024-12-13T00:00:00"/>
        <d v="2024-05-19T00:00:00"/>
        <d v="2024-03-31T00:00:00"/>
        <d v="2024-02-19T00:00:00"/>
        <d v="2024-06-05T00:00:00"/>
        <d v="2023-02-09T00:00:00"/>
        <d v="2023-04-20T00:00:00"/>
        <d v="2023-09-28T00:00:00"/>
        <d v="2023-10-03T00:00:00"/>
        <d v="2024-12-21T00:00:00"/>
        <d v="2023-11-13T00:00:00"/>
        <d v="2024-12-26T00:00:00"/>
        <d v="2023-05-15T00:00:00"/>
        <d v="2023-03-14T00:00:00"/>
        <d v="2023-08-15T00:00:00"/>
        <d v="2023-12-12T00:00:00"/>
        <d v="2025-01-01T00:00:00"/>
        <d v="2023-12-18T00:00:00"/>
        <d v="2023-09-25T00:00:00"/>
        <d v="2023-10-30T00:00:00"/>
        <d v="2024-09-14T00:00:00"/>
        <d v="2024-08-26T00:00:00"/>
        <d v="2024-11-10T00:00:00"/>
        <d v="2024-12-04T00:00:00"/>
        <d v="2024-01-06T00:00:00"/>
        <d v="2023-06-30T00:00:00"/>
        <d v="2024-08-19T00:00:00"/>
        <d v="2024-03-16T00:00:00"/>
        <d v="2024-01-28T00:00:00"/>
        <d v="2024-07-30T00:00:00"/>
        <d v="2023-12-06T00:00:00"/>
        <d v="2024-10-30T00:00:00"/>
        <d v="2023-02-19T00:00:00"/>
        <d v="2024-11-06T00:00:00"/>
        <d v="2023-05-09T00:00:00"/>
        <d v="2023-12-09T00:00:00"/>
        <d v="2024-11-24T00:00:00"/>
        <d v="2024-08-24T00:00:00"/>
        <d v="2024-01-04T00:00:00"/>
        <d v="2023-10-09T00:00:00"/>
        <d v="2024-08-15T00:00:00"/>
        <d v="2023-08-03T00:00:00"/>
        <d v="2024-07-21T00:00:00"/>
        <d v="2023-06-09T00:00:00"/>
        <d v="2023-05-05T00:00:00"/>
        <d v="2023-03-29T00:00:00"/>
        <d v="2024-12-15T00:00:00"/>
        <d v="2024-02-08T00:00:00"/>
        <d v="2023-10-28T00:00:00"/>
        <d v="2023-04-13T00:00:00"/>
        <d v="2023-10-23T00:00:00"/>
        <d v="2023-11-26T00:00:00"/>
        <d v="2024-02-29T00:00:00"/>
        <d v="2024-07-20T00:00:00"/>
        <d v="2024-04-18T00:00:00"/>
        <d v="2024-07-28T00:00:00"/>
        <d v="2023-03-16T00:00:00"/>
        <d v="2023-08-26T00:00:00"/>
        <d v="2024-08-22T00:00:00"/>
        <d v="2024-02-16T00:00:00"/>
        <d v="2024-04-15T00:00:00"/>
        <d v="2023-11-09T00:00:00"/>
        <d v="2023-11-01T00:00:00"/>
        <d v="2023-09-26T00:00:00"/>
        <d v="2024-10-23T00:00:00"/>
        <d v="2024-01-19T00:00:00"/>
        <d v="2024-09-06T00:00:00"/>
        <d v="2023-11-20T00:00:00"/>
        <d v="2024-10-03T00:00:00"/>
        <d v="2024-12-18T00:00:00"/>
        <d v="2024-08-10T00:00:00"/>
        <d v="2024-07-02T00:00:00"/>
        <d v="2024-12-08T00:00:00"/>
        <d v="2025-01-05T00:00:00"/>
        <d v="2024-02-13T00:00:00"/>
        <d v="2023-04-30T00:00:00"/>
        <d v="2023-02-02T00:00:00"/>
        <d v="2023-06-25T00:00:00"/>
        <d v="2024-05-27T00:00:00"/>
        <d v="2024-09-30T00:00:00"/>
        <d v="2023-10-14T00:00:00"/>
        <d v="2024-06-19T00:00:00"/>
        <d v="2023-03-23T00:00:00"/>
        <d v="2024-06-11T00:00:00"/>
        <d v="2023-11-24T00:00:00"/>
        <d v="2023-02-14T00:00:00"/>
        <d v="2023-11-06T00:00:00"/>
        <d v="2023-07-08T00:00:00"/>
        <d v="2024-03-26T00:00:00"/>
        <d v="2023-12-22T00:00:00"/>
        <d v="2023-05-27T00:00:00"/>
        <d v="2023-12-07T00:00:00"/>
        <d v="2023-05-01T00:00:00"/>
        <d v="2023-02-17T00:00:00"/>
        <d v="2025-01-06T00:00:00"/>
        <d v="2024-02-20T00:00:00"/>
        <d v="2024-02-27T00:00:00"/>
        <d v="2023-08-21T00:00:00"/>
        <d v="2024-05-21T00:00:00"/>
        <d v="2023-05-14T00:00:00"/>
        <d v="2024-11-01T00:00:00"/>
        <d v="2024-11-30T00:00:00"/>
        <d v="2023-06-19T00:00:00"/>
        <d v="2024-07-11T00:00:00"/>
        <d v="2023-05-25T00:00:00"/>
        <d v="2023-07-15T00:00:00"/>
        <d v="2024-02-25T00:00:00"/>
        <d v="2024-07-26T00:00:00"/>
        <d v="2023-02-26T00:00:00"/>
        <d v="2024-09-26T00:00:00"/>
        <d v="2024-08-12T00:00:00"/>
        <d v="2024-07-24T00:00:00"/>
        <d v="2024-01-15T00:00:00"/>
        <d v="2023-11-04T00:00:00"/>
        <d v="2023-12-31T00:00:00"/>
        <d v="2024-04-07T00:00:00"/>
        <d v="2023-06-27T00:00:00"/>
        <d v="2023-05-19T00:00:00"/>
        <d v="2023-11-14T00:00:00"/>
        <d v="2024-08-08T00:00:00"/>
        <d v="2024-11-28T00:00:00"/>
        <d v="2023-10-02T00:00:00"/>
        <d v="2024-09-11T00:00:00"/>
        <d v="2024-04-22T00:00:00"/>
        <d v="2024-11-19T00:00:00"/>
        <d v="2024-07-12T00:00:00"/>
        <d v="2024-02-21T00:00:00"/>
        <d v="2024-10-04T00:00:00"/>
        <d v="2024-05-24T00:00:00"/>
        <d v="2023-11-15T00:00:00"/>
        <d v="2024-07-01T00:00:00"/>
        <d v="2023-06-12T00:00:00"/>
        <d v="2023-04-17T00:00:00"/>
        <d v="2024-06-18T00:00:00"/>
        <d v="2024-03-06T00:00:00"/>
        <d v="2024-01-26T00:00:00"/>
        <d v="2024-06-20T00:00:00"/>
        <d v="2024-03-12T00:00:00"/>
        <d v="2023-02-23T00:00:00"/>
        <d v="2024-04-03T00:00:00"/>
        <d v="2023-07-28T00:00:00"/>
        <d v="2024-06-09T00:00:00"/>
        <d v="2024-01-16T00:00:00"/>
        <d v="2023-11-16T00:00:00"/>
        <d v="2024-01-07T00:00:00"/>
        <d v="2024-05-22T00:00:00"/>
        <d v="2024-12-22T00:00:00"/>
        <d v="2023-05-13T00:00:00"/>
        <d v="2024-12-25T00:00:00"/>
        <d v="2024-08-11T00:00:00"/>
        <d v="2023-03-03T00:00:00"/>
        <d v="2024-01-27T00:00:00"/>
        <d v="2024-10-10T00:00:00"/>
        <d v="2023-03-12T00:00:00"/>
        <d v="2023-05-12T00:00:00"/>
        <d v="2024-08-18T00:00:00"/>
        <d v="2024-11-11T00:00:00"/>
        <d v="2023-08-02T00:00:00"/>
        <d v="2023-07-16T00:00:00"/>
        <d v="2024-08-25T00:00:00"/>
        <d v="2024-04-16T00:00:00"/>
        <d v="2024-11-13T00:00:00"/>
        <d v="2023-05-26T00:00:00"/>
        <d v="2023-06-13T00:00:00"/>
        <d v="2023-04-19T00:00:00"/>
        <d v="2024-06-03T00:00:00"/>
        <d v="2024-12-17T00:00:00"/>
        <d v="2024-10-26T00:00:00"/>
        <d v="2023-08-06T00:00:00"/>
        <d v="2024-12-11T00:00:00"/>
        <d v="2023-08-29T00:00:00"/>
        <d v="2023-04-10T00:00:00"/>
        <d v="2023-02-21T00:00:00"/>
        <d v="2024-02-09T00:00:00"/>
        <d v="2024-12-10T00:00:00"/>
        <d v="2023-08-17T00:00:00"/>
        <d v="2024-01-20T00:00:00"/>
        <d v="2024-07-19T00:00:00"/>
        <d v="2024-09-12T00:00:00"/>
        <d v="2024-10-24T00:00:00"/>
        <d v="2023-05-24T00:00:00"/>
        <d v="2023-10-12T00:00:00"/>
        <d v="2024-05-16T00:00:00"/>
        <d v="2024-08-21T00:00:00"/>
        <d v="2023-08-10T00:00:00"/>
        <d v="2024-08-13T00:00:00"/>
        <d v="2025-01-16T00:00:00"/>
        <d v="2024-03-20T00:00:00"/>
        <d v="2024-07-09T00:00:00"/>
        <d v="2024-04-21T00:00:00"/>
        <d v="2024-01-11T00:00:00"/>
        <d v="2023-06-03T00:00:00"/>
        <d v="2023-09-17T00:00:00"/>
        <d v="2024-02-24T00:00:00"/>
        <d v="2025-01-17T00:00:00"/>
        <d v="2025-01-02T00:00:00"/>
        <d v="2023-11-03T00:00:00"/>
        <d v="2024-04-29T00:00:00"/>
        <d v="2024-09-04T00:00:00"/>
        <d v="2024-03-24T00:00:00"/>
        <d v="2024-10-12T00:00:00"/>
        <d v="2024-04-10T00:00:00"/>
        <d v="2023-06-10T00:00:00"/>
        <d v="2023-09-03T00:00:00"/>
        <d v="2024-04-12T00:00:00"/>
        <d v="2024-12-06T00:00:00"/>
        <d v="2024-10-17T00:00:00"/>
        <d v="2023-03-18T00:00:00"/>
        <d v="2024-01-02T00:00:00"/>
        <d v="2024-08-30T00:00:00"/>
        <d v="2023-07-12T00:00:00"/>
        <d v="2023-02-05T00:00:00"/>
        <d v="2024-05-09T00:00:00"/>
        <d v="2024-02-10T00:00:00"/>
        <d v="2024-04-04T00:00:00"/>
        <d v="2024-06-10T00:00:00"/>
        <d v="2023-09-27T00:00:00"/>
        <d v="2023-02-08T00:00:00"/>
        <d v="2024-11-18T00:00:00"/>
        <d v="2023-03-30T00:00:00"/>
        <d v="2024-01-24T00:00:00"/>
        <d v="2024-05-17T00:00:00"/>
        <d v="2023-06-16T00:00:00"/>
        <d v="2023-02-10T00:00:00"/>
        <d v="2024-07-10T00:00:00"/>
        <d v="2025-01-13T00:00:00"/>
        <d v="2023-02-03T00:00:00"/>
        <d v="2024-10-15T00:00:00"/>
        <d v="2023-02-27T00:00:00"/>
        <d v="2023-10-06T00:00:00"/>
        <d v="2025-01-09T00:00:00"/>
        <d v="2023-07-30T00:00:00"/>
        <d v="2023-10-20T00:00:00"/>
        <d v="2024-05-05T00:00:00"/>
        <d v="2023-08-18T00:00:00"/>
        <d v="2024-07-03T00:00:00"/>
        <d v="2023-07-06T00:00:00"/>
        <d v="2023-12-08T00:00:00"/>
        <d v="2024-05-15T00:00:00"/>
        <d v="2024-08-01T00:00:00"/>
        <d v="2023-06-24T00:00:00"/>
        <d v="2023-02-13T00:00:00"/>
        <d v="2024-08-28T00:00:00"/>
        <d v="2024-08-23T00:00:00"/>
        <d v="2024-01-13T00:00:00"/>
        <d v="2023-12-26T00:00:00"/>
        <d v="2024-04-24T00:00:00"/>
        <d v="2023-04-11T00:00:00"/>
        <d v="2023-02-22T00:00:00"/>
        <d v="2024-06-01T00:00:00"/>
        <d v="2023-09-09T00:00:00"/>
        <d v="2024-05-23T00:00:00"/>
        <d v="2024-11-15T00:00:00"/>
        <d v="2024-05-01T00:00:00"/>
        <d v="2023-08-19T00:00:00"/>
        <d v="2023-10-11T00:00:00"/>
        <d v="2023-03-17T00:00:00"/>
        <d v="2023-04-28T00:00:00"/>
        <d v="2023-09-22T00:00:00"/>
        <d v="2023-12-03T00:00:00"/>
        <d v="2024-05-08T00:00:00"/>
        <d v="2023-03-05T00:00:00"/>
        <d v="2024-07-08T00:00:00"/>
        <d v="2024-08-03T00:00:00"/>
        <d v="2024-11-05T00:00:00"/>
        <d v="2023-11-22T00:00:00"/>
        <d v="2024-04-08T00:00:00"/>
        <d v="2024-10-13T00:00:00"/>
        <d v="2024-10-25T00:00:00"/>
        <d v="2024-01-10T00:00:00"/>
        <d v="2023-12-05T00:00:00"/>
        <d v="2023-06-15T00:00:00"/>
        <d v="2023-05-08T00:00:00"/>
        <d v="2024-06-21T00:00:00"/>
        <d v="2023-12-11T00:00:00"/>
        <d v="2023-01-30T00:00:00"/>
        <d v="2024-05-28T00:00:00"/>
        <d v="2023-12-04T00:00:00"/>
        <d v="2023-07-13T00:00:00"/>
        <d v="2025-01-10T00:00:00"/>
        <d v="2023-02-18T00:00:00"/>
        <d v="2023-06-20T00:00:00"/>
        <d v="2023-06-28T00:00:00"/>
        <d v="2023-04-24T00:00:00"/>
        <d v="2024-10-22T00:00:00"/>
        <d v="2023-02-11T00:00:00"/>
        <d v="2024-11-20T00:00:00"/>
        <d v="2024-01-30T00:00:00"/>
        <d v="2023-04-15T00:00:00"/>
        <d v="2024-07-31T00:00:00"/>
        <d v="2024-05-04T00:00:00"/>
        <d v="2023-03-20T00:00:00"/>
        <d v="2024-09-01T00:00:00"/>
        <d v="2024-11-27T00:00:00"/>
        <d v="2024-08-14T00:00:00"/>
        <d v="2023-11-18T00:00:00"/>
        <d v="2023-12-23T00:00:00"/>
        <d v="2023-11-12T00:00:00"/>
        <d v="2023-08-12T00:00:00"/>
        <d v="2024-06-07T00:00:00"/>
        <d v="2024-08-07T00:00:00"/>
        <d v="2024-04-28T00:00:00"/>
        <d v="2023-06-14T00:00:00"/>
        <d v="2024-03-19T00:00:00"/>
        <d v="2023-05-02T00:00:00"/>
        <d v="2024-04-30T00:00:00"/>
        <d v="2023-11-17T00:00:00"/>
        <d v="2023-04-23T00:00:00"/>
        <d v="2023-07-07T00:00:00"/>
        <d v="2024-10-31T00:00:00"/>
        <d v="2024-09-17T00:00:00"/>
        <d v="2023-10-16T00:00:00"/>
        <d v="2024-10-09T00:00:00"/>
        <d v="2023-04-21T00:00:00"/>
        <d v="2024-07-22T00:00:00"/>
        <d v="2023-04-25T00:00:00"/>
        <d v="2023-12-02T00:00:00"/>
        <d v="2023-09-10T00:00:00"/>
        <d v="2023-03-13T00:00:00"/>
        <d v="2024-07-05T00:00:00"/>
        <d v="2023-06-17T00:00:00"/>
        <d v="2023-08-13T00:00:00"/>
        <d v="2023-09-29T00:00:00"/>
        <d v="2023-02-28T00:00:00"/>
        <d v="2024-11-02T00:00:00"/>
        <d v="2024-04-09T00:00:00"/>
        <d v="2023-04-29T00:00:00"/>
        <d v="2024-01-22T00:00:00"/>
        <d v="2024-12-29T00:00:00"/>
        <d v="2024-01-17T00:00:00"/>
        <d v="2024-10-02T00:00:00"/>
        <d v="2024-09-29T00:00:00"/>
        <d v="2024-02-05T00:00:00"/>
        <d v="2024-03-07T00:00:00"/>
        <d v="2023-10-17T00:00:00"/>
        <d v="2023-12-25T00:00:00"/>
        <d v="2023-07-03T00:00:00"/>
        <d v="2023-10-24T00:00:00"/>
        <d v="2023-08-27T00:00:00"/>
        <d v="2024-03-08T00:00:00"/>
        <d v="2024-01-09T00:00:00"/>
        <d v="2024-12-01T00:00:00"/>
        <d v="2023-05-29T00:00:00"/>
        <d v="2024-11-26T00:00:00"/>
        <d v="2024-02-12T00:00:00"/>
        <d v="2024-09-20T00:00:00"/>
        <d v="2023-09-19T00:00:00"/>
        <d v="2023-10-27T00:00:00"/>
        <d v="2023-09-15T00:00:00"/>
        <d v="2023-12-29T00:00:00"/>
        <d v="2024-07-07T00:00:00"/>
        <d v="2024-01-21T00:00:00"/>
        <d v="2023-12-15T00:00:00"/>
        <d v="2024-12-12T00:00:00"/>
        <d v="2023-03-11T00:00:00"/>
        <d v="2023-03-26T00:00:00"/>
        <d v="2024-01-05T00:00:00"/>
        <d v="2025-01-07T00:00:00"/>
        <d v="2024-09-16T00:00:00"/>
        <d v="2023-04-01T00:00:00"/>
        <d v="2025-01-19T00:00:00"/>
        <d v="2024-09-05T00:00:00"/>
        <d v="2024-02-04T00:00:00"/>
        <d v="2024-12-30T00:00:00"/>
        <d v="2023-03-06T00:00:00"/>
        <d v="2024-01-31T00:00:00"/>
        <d v="2023-07-29T00:00:00"/>
        <d v="2024-04-02T00:00:00"/>
        <d v="2023-07-22T00:00:00"/>
        <d v="2023-11-25T00:00:00"/>
        <d v="2023-07-19T00:00:00"/>
        <d v="2023-09-30T00:00:00"/>
        <d v="2024-12-05T00:00:00"/>
        <d v="2024-08-02T00:00:00"/>
        <d v="2023-02-12T00:00:00"/>
        <d v="2023-08-01T00:00:00"/>
        <d v="2023-03-21T00:00:00"/>
        <d v="2024-08-09T00:00:00"/>
        <d v="2023-05-04T00:00:00"/>
        <d v="2023-06-06T00:00:00"/>
        <d v="2023-05-06T00:00:00"/>
        <d v="2024-10-06T00:00:00"/>
        <d v="2023-11-08T00:00:00"/>
        <d v="2024-05-10T00:00:00"/>
        <d v="2023-12-21T00:00:00"/>
        <d v="2023-01-25T00:00:00"/>
        <d v="2024-04-26T00:00:00"/>
        <d v="2024-03-23T00:00:00"/>
        <d v="2024-03-04T00:00:00"/>
        <d v="2023-07-24T00:00:00"/>
        <d v="2025-01-12T00:00:00"/>
        <d v="2023-12-17T00:00:00"/>
        <d v="2023-07-21T00:00:00"/>
        <d v="2024-09-08T00:00:00"/>
        <d v="2023-06-08T00:00:00"/>
        <d v="2024-04-25T00:00:00"/>
        <d v="2023-07-04T00:00:00"/>
        <d v="2023-06-29T00:00:00"/>
        <d v="2023-03-10T00:00:00"/>
        <d v="2023-11-30T00:00:00"/>
        <d v="2024-10-20T00:00:00"/>
        <d v="2023-03-27T00:00:00"/>
        <d v="2023-10-01T00:00:00"/>
        <d v="2023-03-19T00:00:00"/>
        <d v="2023-05-31T00:00:00"/>
        <d v="2023-02-01T00:00:00"/>
        <d v="2023-02-20T00:00:00"/>
        <d v="2023-08-30T00:00:00"/>
        <d v="2023-06-23T00:00:00"/>
        <d v="2023-12-14T00:00:00"/>
        <d v="2024-04-20T00:00:00"/>
        <d v="2023-06-05T00:00:00"/>
        <d v="2024-05-18T00:00:00"/>
        <d v="2024-04-27T00:00:00"/>
        <d v="2024-04-13T00:00:00"/>
        <d v="2024-11-09T00:00:00"/>
        <d v="2023-12-19T00:00:00"/>
        <d v="2024-11-21T00:00:00"/>
        <d v="2024-03-17T00:00:00"/>
        <d v="2023-11-11T00:00:00"/>
        <d v="2024-02-28T00:00:00"/>
        <d v="2024-06-27T00:00:00"/>
        <d v="2023-06-26T00:00:00"/>
        <d v="2023-12-13T00:00:00"/>
        <d v="2024-06-25T00:00:00"/>
        <d v="2023-08-11T00:00:00"/>
        <d v="2023-03-28T00:00:00"/>
        <d v="2024-03-18T00:00:00"/>
        <d v="2024-12-14T00:00:00"/>
        <d v="2024-06-30T00:00:00"/>
        <d v="2023-04-05T00:00:00"/>
        <d v="2024-12-07T00:00:00"/>
        <d v="2024-12-28T00:00:00"/>
        <d v="2024-10-29T00:00:00"/>
        <d v="2023-11-19T00:00:00"/>
        <d v="2024-05-14T00:00:00"/>
        <d v="2024-09-10T00:00:00"/>
        <d v="2024-03-01T00:00:00"/>
        <d v="2024-02-11T00:00:00"/>
        <d v="2023-08-05T00:00:00"/>
        <d v="2024-07-13T00:00:00"/>
        <d v="2023-05-03T00:00:00"/>
        <d v="2025-01-14T00:00:00"/>
        <d v="2024-12-03T00:00:00"/>
        <d v="2024-03-13T00:00:00"/>
        <d v="2023-10-29T00:00:00"/>
        <d v="2024-09-07T00:00:00"/>
        <d v="2024-06-17T00:00:00"/>
        <d v="2025-01-03T00:00:00"/>
        <d v="2024-09-13T00:00:00"/>
        <d v="2024-09-23T00:00:00"/>
        <d v="2024-11-29T00:00:00"/>
        <d v="2024-05-26T00:00:00"/>
        <d v="2023-05-22T00:00:00"/>
        <d v="2024-05-11T00:00:00"/>
        <d v="2023-04-06T00:00:00"/>
        <d v="2023-09-05T00:00:00"/>
        <d v="2023-01-26T00:00:00"/>
        <d v="2023-06-21T00:00:00"/>
        <d v="2023-04-09T00:00:00"/>
        <d v="2023-05-07T00:00:00"/>
        <d v="2024-02-07T00:00:00"/>
        <d v="2024-05-12T00:00:00"/>
        <d v="2023-07-20T00:00:00"/>
        <d v="2023-03-22T00:00:00"/>
        <d v="2023-03-02T00:00:00"/>
        <d v="2024-04-05T00:00:00"/>
        <d v="2024-11-03T00:00:00"/>
        <d v="2024-03-09T00:00:00"/>
        <d v="2023-10-26T00:00:00"/>
        <d v="2024-02-22T00:00:00"/>
        <d v="2023-08-20T00:00:00"/>
        <d v="2024-08-16T00:00:00"/>
        <d v="2025-01-04T00:00:00"/>
        <d v="2023-05-10T00:00:00"/>
        <d v="2023-11-02T00:00:00"/>
        <d v="2023-04-02T00:00:00"/>
        <d v="2023-08-16T00:00:00"/>
        <d v="2024-09-22T00:00:00"/>
        <d v="2023-09-23T00:00:00"/>
        <d v="2024-07-14T00:00:00"/>
        <d v="2023-05-17T00:00:00"/>
        <d v="2024-02-18T00:00:00"/>
        <d v="2023-08-23T00:00:00"/>
        <d v="2023-07-02T00:00:00"/>
        <d v="2023-09-12T00:00:00"/>
        <d v="2024-05-30T00:00:00"/>
        <d v="2024-08-06T00:00:00"/>
        <d v="2023-11-07T00:00:00"/>
        <d v="2025-01-20T00:00:00"/>
        <d v="2024-07-27T00:00:00"/>
        <d v="2024-05-25T00:00:00"/>
        <d v="2023-01-24T00:00:00"/>
        <d v="2023-09-21T00:00:00"/>
        <d v="2024-03-25T00:00:00"/>
        <d v="2023-05-16T00:00:00"/>
        <d v="2024-12-20T00:00:00"/>
        <d v="2024-02-26T00:00:00"/>
        <d v="2024-09-28T00:00:00"/>
        <d v="2024-10-16T00:00:00"/>
        <d v="2024-03-14T00:00:00"/>
        <d v="2023-05-11T00:00:00"/>
        <d v="2023-10-19T00:00:00"/>
        <d v="2023-02-06T00:00:00"/>
        <d v="2024-03-15T00:00:00"/>
        <d v="2023-07-25T00:00:00"/>
        <d v="2023-03-07T00:00:00"/>
        <d v="2023-10-31T00:00:00"/>
        <d v="2024-04-01T00:00:00"/>
        <d v="2024-05-20T00:00:00"/>
        <d v="2023-05-18T00:00:00"/>
        <d v="2024-05-02T00:00:00"/>
        <d v="2024-05-06T00:00:00"/>
        <d v="2023-10-21T00:00:00"/>
        <d v="2023-01-27T00:00:00"/>
        <d v="2023-07-18T00:00:00"/>
        <d v="2024-05-03T00:00:00"/>
        <d v="2024-05-13T00:00:00"/>
        <d v="2025-01-11T00:00:00"/>
        <d v="2024-10-14T00:00:00"/>
        <d v="2024-11-04T00:00:00"/>
        <d v="2023-07-26T00:00:00"/>
        <d v="2023-07-14T00:00:00"/>
        <d v="2023-08-28T00:00:00"/>
        <d v="2023-09-06T00:00:00"/>
        <d v="2024-08-29T00:00:00"/>
        <d v="2023-06-11T00:00:00"/>
        <d v="2024-10-18T00:00:00"/>
        <d v="2024-07-04T00:00:00"/>
        <d v="2023-04-27T00:00:00"/>
        <d v="2023-12-10T00:00:00"/>
        <d v="2024-10-01T00:00:00"/>
        <d v="2024-07-29T00:00:00"/>
        <d v="2024-03-05T00:00:00"/>
        <d v="2023-03-01T00:00:00"/>
        <d v="2024-04-19T00:00:00"/>
        <d v="2023-05-20T00:00:00"/>
        <d v="2023-07-31T00:00:00"/>
        <d v="2024-03-30T00:00:00"/>
        <d v="2024-10-08T00:00:00"/>
        <d v="2024-01-14T00:00:00"/>
        <d v="2023-09-08T00:00:00"/>
        <d v="2024-02-01T00:00:00"/>
        <d v="2023-07-01T00:00:00"/>
        <d v="2023-12-30T00:00:00"/>
        <d v="2024-06-29T00:00:00"/>
        <d v="2023-01-23T00:00:00"/>
        <d v="2024-03-22T00:00:00"/>
        <d v="2023-10-04T00:00:00"/>
        <d v="2024-09-24T00:00:00"/>
        <d v="2023-07-11T00:00:00"/>
        <d v="2024-01-12T00:00:00"/>
        <d v="2024-03-03T00:00:00"/>
        <d v="2024-10-05T00:00:00"/>
        <d v="2024-02-17T00:00:00"/>
        <d v="2023-04-04T00:00:00"/>
        <d v="2023-04-22T00:00:00"/>
        <d v="2023-09-18T00:00:00"/>
        <d v="2023-05-28T00:00:00"/>
        <d v="2024-01-23T00:00:00"/>
        <d v="2023-12-16T00:00:00"/>
        <d v="2024-01-08T00:00:00"/>
        <d v="2023-03-24T00:00:00"/>
        <d v="2023-05-23T00:00:00"/>
        <d v="2024-07-06T00:00:00"/>
        <d v="2024-09-19T00:00:00"/>
        <d v="2023-01-21T00:00:00"/>
        <d v="2023-09-02T00:00:00"/>
        <d v="2023-06-22T00:00:00"/>
        <d v="2023-12-20T00:00:00"/>
        <d v="2023-12-27T00:00:00"/>
        <d v="2023-06-02T00:00:00"/>
        <d v="2023-10-13T00:00:00"/>
        <d v="2023-08-25T00:00:00"/>
        <d v="2023-10-22T00:00:00"/>
        <d v="2023-04-07T00:00:00"/>
        <d v="2023-01-31T00:00:00"/>
        <d v="2024-06-14T00:00:00"/>
        <d v="2023-03-08T00:00:00"/>
        <d v="2023-10-18T00:00:00"/>
        <d v="2023-01-22T00:00:00"/>
        <d v="2024-01-01T00:00:00"/>
        <d v="2024-02-14T00:00:00"/>
        <d v="2023-08-08T00:00:00"/>
        <d v="2023-08-24T00:00:00"/>
        <d v="2024-04-23T00:00:00"/>
        <d v="2024-06-28T00:00:00"/>
        <d v="2024-04-11T00:00:00"/>
        <d v="2024-12-27T00:00:00"/>
        <d v="2023-08-04T00:00:00"/>
        <d v="2023-08-14T00:00:00"/>
        <d v="2024-12-16T00:00:00"/>
        <d v="2023-09-13T00:00:00"/>
        <d v="2023-07-17T00:00:00"/>
        <d v="2023-04-12T00:00:00"/>
        <d v="2023-06-04T00:00:00"/>
        <d v="2024-11-17T00:00:00"/>
        <d v="2023-04-26T00:00:00"/>
        <d v="2023-10-07T00:00:00"/>
        <d v="2023-09-20T00:00:00"/>
        <d v="2024-05-29T00:00:00"/>
        <d v="2023-06-07T00:00:00"/>
        <d v="2024-04-17T00:00:00"/>
        <d v="2024-10-21T00:00:00"/>
        <d v="2023-01-28T00:00:00"/>
        <d v="2024-09-21T00:00:00"/>
        <d v="2023-02-24T00:00:00"/>
        <d v="2023-03-04T00:00:00"/>
        <d v="2025-01-18T00:00:00"/>
        <d v="2023-05-30T00:00:00"/>
        <d v="2024-12-09T00:00:00"/>
        <d v="2023-04-03T00:00:00"/>
        <d v="2023-02-25T00:00:00"/>
        <d v="2024-08-04T00:00:00"/>
        <d v="2024-06-06T00:00:00"/>
        <d v="2023-11-27T00:00:00"/>
        <d v="2023-05-21T00:00:00"/>
        <d v="2023-04-18T00:00:00"/>
        <d v="2024-12-23T00:00:00"/>
        <d v="2024-07-17T00:00:00"/>
        <d v="2024-02-15T00:00:00"/>
        <d v="2024-10-07T00:00:00"/>
        <d v="2024-06-02T00:00:00"/>
        <d v="2023-11-10T00:00:00"/>
        <d v="2024-12-24T00:00:00"/>
        <d v="2024-11-23T00:00:00"/>
        <d v="2023-02-04T00:00:00"/>
      </sharedItems>
      <fieldGroup par="10"/>
    </cacheField>
    <cacheField name="PaymentDate" numFmtId="164">
      <sharedItems containsSemiMixedTypes="0" containsNonDate="0" containsDate="1" containsString="0" minDate="2023-01-21T00:00:00" maxDate="2024-12-30T00:00:00" count="614">
        <d v="2024-03-09T00:00:00"/>
        <d v="2024-06-12T00:00:00"/>
        <d v="2023-02-18T00:00:00"/>
        <d v="2024-02-02T00:00:00"/>
        <d v="2024-04-21T00:00:00"/>
        <d v="2024-12-04T00:00:00"/>
        <d v="2024-11-02T00:00:00"/>
        <d v="2023-10-27T00:00:00"/>
        <d v="2024-08-04T00:00:00"/>
        <d v="2024-07-21T00:00:00"/>
        <d v="2024-06-22T00:00:00"/>
        <d v="2023-06-28T00:00:00"/>
        <d v="2024-12-24T00:00:00"/>
        <d v="2023-12-08T00:00:00"/>
        <d v="2024-11-12T00:00:00"/>
        <d v="2023-03-26T00:00:00"/>
        <d v="2023-10-23T00:00:00"/>
        <d v="2023-10-12T00:00:00"/>
        <d v="2024-09-29T00:00:00"/>
        <d v="2024-05-09T00:00:00"/>
        <d v="2024-05-11T00:00:00"/>
        <d v="2023-12-31T00:00:00"/>
        <d v="2024-01-11T00:00:00"/>
        <d v="2024-09-13T00:00:00"/>
        <d v="2024-01-31T00:00:00"/>
        <d v="2023-06-22T00:00:00"/>
        <d v="2024-07-01T00:00:00"/>
        <d v="2023-10-26T00:00:00"/>
        <d v="2023-04-21T00:00:00"/>
        <d v="2024-05-17T00:00:00"/>
        <d v="2024-09-16T00:00:00"/>
        <d v="2024-07-13T00:00:00"/>
        <d v="2024-01-04T00:00:00"/>
        <d v="2024-12-14T00:00:00"/>
        <d v="2023-04-04T00:00:00"/>
        <d v="2024-11-29T00:00:00"/>
        <d v="2023-08-21T00:00:00"/>
        <d v="2024-01-06T00:00:00"/>
        <d v="2023-05-24T00:00:00"/>
        <d v="2024-09-10T00:00:00"/>
        <d v="2024-02-25T00:00:00"/>
        <d v="2024-01-21T00:00:00"/>
        <d v="2024-02-19T00:00:00"/>
        <d v="2023-04-22T00:00:00"/>
        <d v="2023-03-30T00:00:00"/>
        <d v="2024-03-20T00:00:00"/>
        <d v="2023-05-04T00:00:00"/>
        <d v="2023-04-01T00:00:00"/>
        <d v="2024-03-22T00:00:00"/>
        <d v="2024-04-08T00:00:00"/>
        <d v="2024-07-04T00:00:00"/>
        <d v="2023-11-14T00:00:00"/>
        <d v="2024-09-14T00:00:00"/>
        <d v="2024-03-28T00:00:00"/>
        <d v="2024-09-08T00:00:00"/>
        <d v="2023-01-29T00:00:00"/>
        <d v="2024-12-05T00:00:00"/>
        <d v="2023-05-10T00:00:00"/>
        <d v="2023-05-06T00:00:00"/>
        <d v="2023-08-19T00:00:00"/>
        <d v="2023-10-05T00:00:00"/>
        <d v="2024-04-11T00:00:00"/>
        <d v="2023-12-07T00:00:00"/>
        <d v="2024-05-15T00:00:00"/>
        <d v="2024-01-19T00:00:00"/>
        <d v="2024-02-20T00:00:00"/>
        <d v="2024-04-23T00:00:00"/>
        <d v="2023-03-02T00:00:00"/>
        <d v="2024-01-26T00:00:00"/>
        <d v="2023-05-16T00:00:00"/>
        <d v="2023-12-04T00:00:00"/>
        <d v="2024-07-12T00:00:00"/>
        <d v="2024-08-03T00:00:00"/>
        <d v="2023-06-30T00:00:00"/>
        <d v="2024-07-03T00:00:00"/>
        <d v="2024-03-04T00:00:00"/>
        <d v="2024-08-24T00:00:00"/>
        <d v="2024-08-19T00:00:00"/>
        <d v="2023-03-05T00:00:00"/>
        <d v="2024-08-14T00:00:00"/>
        <d v="2023-04-06T00:00:00"/>
        <d v="2024-02-06T00:00:00"/>
        <d v="2024-09-07T00:00:00"/>
        <d v="2023-05-09T00:00:00"/>
        <d v="2023-12-20T00:00:00"/>
        <d v="2024-11-14T00:00:00"/>
        <d v="2024-01-29T00:00:00"/>
        <d v="2024-10-31T00:00:00"/>
        <d v="2023-06-06T00:00:00"/>
        <d v="2023-08-05T00:00:00"/>
        <d v="2023-10-06T00:00:00"/>
        <d v="2024-11-13T00:00:00"/>
        <d v="2024-06-26T00:00:00"/>
        <d v="2024-08-16T00:00:00"/>
        <d v="2024-02-12T00:00:00"/>
        <d v="2023-10-11T00:00:00"/>
        <d v="2024-02-16T00:00:00"/>
        <d v="2024-04-19T00:00:00"/>
        <d v="2024-09-18T00:00:00"/>
        <d v="2024-06-04T00:00:00"/>
        <d v="2023-03-07T00:00:00"/>
        <d v="2024-11-28T00:00:00"/>
        <d v="2024-06-21T00:00:00"/>
        <d v="2023-11-27T00:00:00"/>
        <d v="2023-10-08T00:00:00"/>
        <d v="2023-01-21T00:00:00"/>
        <d v="2023-05-29T00:00:00"/>
        <d v="2024-05-25T00:00:00"/>
        <d v="2023-11-26T00:00:00"/>
        <d v="2023-07-10T00:00:00"/>
        <d v="2023-07-25T00:00:00"/>
        <d v="2023-12-25T00:00:00"/>
        <d v="2023-03-28T00:00:00"/>
        <d v="2024-11-23T00:00:00"/>
        <d v="2023-08-12T00:00:00"/>
        <d v="2024-12-22T00:00:00"/>
        <d v="2024-05-13T00:00:00"/>
        <d v="2023-06-16T00:00:00"/>
        <d v="2023-11-24T00:00:00"/>
        <d v="2023-03-23T00:00:00"/>
        <d v="2024-07-26T00:00:00"/>
        <d v="2024-05-10T00:00:00"/>
        <d v="2023-09-14T00:00:00"/>
        <d v="2024-10-14T00:00:00"/>
        <d v="2023-11-05T00:00:00"/>
        <d v="2024-12-15T00:00:00"/>
        <d v="2024-05-20T00:00:00"/>
        <d v="2023-04-20T00:00:00"/>
        <d v="2023-04-16T00:00:00"/>
        <d v="2023-02-02T00:00:00"/>
        <d v="2024-10-15T00:00:00"/>
        <d v="2024-02-11T00:00:00"/>
        <d v="2024-12-16T00:00:00"/>
        <d v="2023-04-24T00:00:00"/>
        <d v="2023-04-05T00:00:00"/>
        <d v="2023-06-08T00:00:00"/>
        <d v="2024-09-27T00:00:00"/>
        <d v="2024-10-20T00:00:00"/>
        <d v="2024-10-25T00:00:00"/>
        <d v="2024-08-29T00:00:00"/>
        <d v="2023-08-25T00:00:00"/>
        <d v="2024-02-26T00:00:00"/>
        <d v="2024-10-02T00:00:00"/>
        <d v="2023-12-16T00:00:00"/>
        <d v="2024-08-10T00:00:00"/>
        <d v="2023-09-22T00:00:00"/>
        <d v="2023-11-11T00:00:00"/>
        <d v="2023-12-03T00:00:00"/>
        <d v="2023-08-04T00:00:00"/>
        <d v="2024-06-11T00:00:00"/>
        <d v="2023-07-13T00:00:00"/>
        <d v="2024-10-26T00:00:00"/>
        <d v="2024-11-18T00:00:00"/>
        <d v="2023-08-08T00:00:00"/>
        <d v="2023-07-23T00:00:00"/>
        <d v="2024-11-04T00:00:00"/>
        <d v="2024-05-31T00:00:00"/>
        <d v="2023-05-12T00:00:00"/>
        <d v="2024-11-24T00:00:00"/>
        <d v="2024-09-20T00:00:00"/>
        <d v="2023-06-26T00:00:00"/>
        <d v="2023-03-19T00:00:00"/>
        <d v="2024-09-17T00:00:00"/>
        <d v="2023-09-05T00:00:00"/>
        <d v="2023-12-29T00:00:00"/>
        <d v="2023-09-12T00:00:00"/>
        <d v="2023-10-16T00:00:00"/>
        <d v="2023-05-02T00:00:00"/>
        <d v="2024-12-08T00:00:00"/>
        <d v="2023-12-12T00:00:00"/>
        <d v="2024-10-11T00:00:00"/>
        <d v="2024-08-11T00:00:00"/>
        <d v="2024-08-17T00:00:00"/>
        <d v="2023-09-28T00:00:00"/>
        <d v="2023-04-07T00:00:00"/>
        <d v="2024-04-25T00:00:00"/>
        <d v="2024-01-22T00:00:00"/>
        <d v="2023-07-08T00:00:00"/>
        <d v="2023-03-25T00:00:00"/>
        <d v="2024-07-09T00:00:00"/>
        <d v="2024-02-18T00:00:00"/>
        <d v="2024-01-30T00:00:00"/>
        <d v="2024-06-23T00:00:00"/>
        <d v="2023-05-07T00:00:00"/>
        <d v="2024-07-16T00:00:00"/>
        <d v="2023-09-06T00:00:00"/>
        <d v="2024-11-08T00:00:00"/>
        <d v="2024-05-14T00:00:00"/>
        <d v="2023-12-24T00:00:00"/>
        <d v="2023-05-28T00:00:00"/>
        <d v="2023-10-30T00:00:00"/>
        <d v="2024-06-24T00:00:00"/>
        <d v="2023-11-28T00:00:00"/>
        <d v="2024-12-09T00:00:00"/>
        <d v="2023-05-30T00:00:00"/>
        <d v="2024-01-17T00:00:00"/>
        <d v="2023-10-13T00:00:00"/>
        <d v="2024-10-08T00:00:00"/>
        <d v="2023-02-11T00:00:00"/>
        <d v="2024-04-29T00:00:00"/>
        <d v="2023-05-08T00:00:00"/>
        <d v="2023-08-23T00:00:00"/>
        <d v="2024-12-06T00:00:00"/>
        <d v="2024-11-19T00:00:00"/>
        <d v="2023-11-19T00:00:00"/>
        <d v="2023-07-02T00:00:00"/>
        <d v="2023-04-14T00:00:00"/>
        <d v="2023-07-22T00:00:00"/>
        <d v="2024-01-07T00:00:00"/>
        <d v="2024-02-22T00:00:00"/>
        <d v="2024-03-03T00:00:00"/>
        <d v="2024-01-28T00:00:00"/>
        <d v="2024-11-27T00:00:00"/>
        <d v="2024-07-06T00:00:00"/>
        <d v="2024-10-28T00:00:00"/>
        <d v="2024-06-07T00:00:00"/>
        <d v="2024-12-03T00:00:00"/>
        <d v="2023-12-23T00:00:00"/>
        <d v="2024-12-17T00:00:00"/>
        <d v="2024-03-17T00:00:00"/>
        <d v="2024-09-30T00:00:00"/>
        <d v="2024-11-30T00:00:00"/>
        <d v="2023-04-02T00:00:00"/>
        <d v="2024-09-09T00:00:00"/>
        <d v="2024-04-07T00:00:00"/>
        <d v="2024-01-16T00:00:00"/>
        <d v="2023-07-26T00:00:00"/>
        <d v="2023-04-08T00:00:00"/>
        <d v="2023-02-20T00:00:00"/>
        <d v="2023-01-22T00:00:00"/>
        <d v="2023-04-19T00:00:00"/>
        <d v="2023-04-27T00:00:00"/>
        <d v="2024-12-18T00:00:00"/>
        <d v="2023-05-03T00:00:00"/>
        <d v="2023-07-03T00:00:00"/>
        <d v="2023-07-11T00:00:00"/>
        <d v="2023-05-21T00:00:00"/>
        <d v="2024-06-25T00:00:00"/>
        <d v="2023-09-29T00:00:00"/>
        <d v="2024-05-30T00:00:00"/>
        <d v="2023-12-10T00:00:00"/>
        <d v="2023-02-15T00:00:00"/>
        <d v="2023-08-11T00:00:00"/>
        <d v="2024-01-12T00:00:00"/>
        <d v="2023-10-01T00:00:00"/>
        <d v="2024-07-02T00:00:00"/>
        <d v="2023-07-09T00:00:00"/>
        <d v="2024-06-18T00:00:00"/>
        <d v="2024-03-13T00:00:00"/>
        <d v="2023-12-01T00:00:00"/>
        <d v="2023-10-18T00:00:00"/>
        <d v="2023-02-25T00:00:00"/>
        <d v="2023-03-20T00:00:00"/>
        <d v="2024-08-02T00:00:00"/>
        <d v="2024-12-07T00:00:00"/>
        <d v="2023-12-15T00:00:00"/>
        <d v="2024-08-05T00:00:00"/>
        <d v="2024-02-09T00:00:00"/>
        <d v="2023-12-14T00:00:00"/>
        <d v="2023-05-19T00:00:00"/>
        <d v="2023-02-28T00:00:00"/>
        <d v="2023-11-03T00:00:00"/>
        <d v="2024-10-18T00:00:00"/>
        <d v="2023-03-13T00:00:00"/>
        <d v="2024-10-13T00:00:00"/>
        <d v="2024-05-18T00:00:00"/>
        <d v="2024-10-01T00:00:00"/>
        <d v="2023-07-29T00:00:00"/>
        <d v="2023-06-24T00:00:00"/>
        <d v="2024-10-06T00:00:00"/>
        <d v="2023-02-03T00:00:00"/>
        <d v="2023-01-26T00:00:00"/>
        <d v="2023-10-10T00:00:00"/>
        <d v="2023-05-14T00:00:00"/>
        <d v="2023-09-23T00:00:00"/>
        <d v="2023-10-04T00:00:00"/>
        <d v="2023-02-08T00:00:00"/>
        <d v="2024-10-19T00:00:00"/>
        <d v="2024-03-05T00:00:00"/>
        <d v="2024-06-27T00:00:00"/>
        <d v="2023-08-22T00:00:00"/>
        <d v="2024-06-30T00:00:00"/>
        <d v="2024-02-27T00:00:00"/>
        <d v="2024-02-28T00:00:00"/>
        <d v="2024-03-14T00:00:00"/>
        <d v="2023-11-12T00:00:00"/>
        <d v="2024-03-01T00:00:00"/>
        <d v="2024-06-19T00:00:00"/>
        <d v="2024-08-01T00:00:00"/>
        <d v="2023-09-27T00:00:00"/>
        <d v="2024-12-01T00:00:00"/>
        <d v="2024-06-20T00:00:00"/>
        <d v="2023-12-09T00:00:00"/>
        <d v="2023-06-29T00:00:00"/>
        <d v="2023-07-14T00:00:00"/>
        <d v="2024-08-20T00:00:00"/>
        <d v="2024-07-19T00:00:00"/>
        <d v="2024-08-13T00:00:00"/>
        <d v="2023-01-24T00:00:00"/>
        <d v="2023-09-21T00:00:00"/>
        <d v="2024-05-01T00:00:00"/>
        <d v="2024-08-31T00:00:00"/>
        <d v="2024-06-29T00:00:00"/>
        <d v="2023-06-17T00:00:00"/>
        <d v="2023-07-19T00:00:00"/>
        <d v="2024-11-20T00:00:00"/>
        <d v="2023-08-31T00:00:00"/>
        <d v="2023-07-15T00:00:00"/>
        <d v="2023-05-01T00:00:00"/>
        <d v="2023-06-20T00:00:00"/>
        <d v="2023-04-28T00:00:00"/>
        <d v="2023-06-25T00:00:00"/>
        <d v="2024-05-07T00:00:00"/>
        <d v="2023-05-27T00:00:00"/>
        <d v="2024-04-20T00:00:00"/>
        <d v="2023-04-23T00:00:00"/>
        <d v="2024-03-25T00:00:00"/>
        <d v="2023-11-06T00:00:00"/>
        <d v="2024-10-24T00:00:00"/>
        <d v="2024-05-24T00:00:00"/>
        <d v="2023-06-01T00:00:00"/>
        <d v="2024-01-13T00:00:00"/>
        <d v="2023-11-15T00:00:00"/>
        <d v="2024-01-23T00:00:00"/>
        <d v="2023-10-31T00:00:00"/>
        <d v="2024-06-05T00:00:00"/>
        <d v="2024-11-26T00:00:00"/>
        <d v="2023-06-27T00:00:00"/>
        <d v="2023-01-25T00:00:00"/>
        <d v="2023-09-20T00:00:00"/>
        <d v="2023-08-20T00:00:00"/>
        <d v="2023-02-16T00:00:00"/>
        <d v="2024-07-28T00:00:00"/>
        <d v="2024-04-05T00:00:00"/>
        <d v="2024-11-07T00:00:00"/>
        <d v="2024-07-24T00:00:00"/>
        <d v="2023-05-11T00:00:00"/>
        <d v="2024-03-11T00:00:00"/>
        <d v="2023-07-05T00:00:00"/>
        <d v="2024-05-08T00:00:00"/>
        <d v="2024-11-05T00:00:00"/>
        <d v="2024-01-01T00:00:00"/>
        <d v="2023-09-13T00:00:00"/>
        <d v="2023-04-26T00:00:00"/>
        <d v="2024-11-06T00:00:00"/>
        <d v="2024-12-27T00:00:00"/>
        <d v="2024-06-10T00:00:00"/>
        <d v="2023-10-14T00:00:00"/>
        <d v="2024-08-21T00:00:00"/>
        <d v="2023-04-17T00:00:00"/>
        <d v="2023-02-19T00:00:00"/>
        <d v="2024-10-10T00:00:00"/>
        <d v="2024-05-19T00:00:00"/>
        <d v="2023-07-28T00:00:00"/>
        <d v="2023-06-03T00:00:00"/>
        <d v="2024-09-19T00:00:00"/>
        <d v="2024-12-23T00:00:00"/>
        <d v="2023-08-07T00:00:00"/>
        <d v="2024-12-19T00:00:00"/>
        <d v="2023-11-13T00:00:00"/>
        <d v="2024-03-23T00:00:00"/>
        <d v="2023-08-06T00:00:00"/>
        <d v="2024-02-13T00:00:00"/>
        <d v="2024-04-30T00:00:00"/>
        <d v="2023-03-31T00:00:00"/>
        <d v="2023-05-13T00:00:00"/>
        <d v="2024-07-25T00:00:00"/>
        <d v="2024-01-02T00:00:00"/>
        <d v="2024-01-10T00:00:00"/>
        <d v="2024-11-15T00:00:00"/>
        <d v="2024-06-28T00:00:00"/>
        <d v="2023-12-11T00:00:00"/>
        <d v="2023-06-13T00:00:00"/>
        <d v="2023-09-11T00:00:00"/>
        <d v="2024-07-18T00:00:00"/>
        <d v="2024-11-22T00:00:00"/>
        <d v="2023-09-03T00:00:00"/>
        <d v="2024-03-08T00:00:00"/>
        <d v="2024-02-08T00:00:00"/>
        <d v="2023-09-01T00:00:00"/>
        <d v="2024-02-14T00:00:00"/>
        <d v="2024-04-26T00:00:00"/>
        <d v="2024-10-05T00:00:00"/>
        <d v="2024-01-24T00:00:00"/>
        <d v="2023-03-18T00:00:00"/>
        <d v="2024-05-21T00:00:00"/>
        <d v="2023-09-18T00:00:00"/>
        <d v="2024-04-10T00:00:00"/>
        <d v="2023-11-18T00:00:00"/>
        <d v="2023-05-25T00:00:00"/>
        <d v="2023-06-18T00:00:00"/>
        <d v="2023-06-02T00:00:00"/>
        <d v="2023-08-18T00:00:00"/>
        <d v="2023-03-11T00:00:00"/>
        <d v="2024-02-05T00:00:00"/>
        <d v="2024-05-12T00:00:00"/>
        <d v="2024-12-29T00:00:00"/>
        <d v="2023-02-09T00:00:00"/>
        <d v="2023-10-03T00:00:00"/>
        <d v="2024-01-20T00:00:00"/>
        <d v="2024-06-03T00:00:00"/>
        <d v="2024-06-16T00:00:00"/>
        <d v="2023-05-17T00:00:00"/>
        <d v="2023-02-04T00:00:00"/>
        <d v="2024-06-14T00:00:00"/>
        <d v="2024-07-05T00:00:00"/>
        <d v="2023-11-02T00:00:00"/>
        <d v="2024-12-10T00:00:00"/>
        <d v="2023-03-17T00:00:00"/>
        <d v="2024-12-21T00:00:00"/>
        <d v="2023-02-17T00:00:00"/>
        <d v="2024-07-15T00:00:00"/>
        <d v="2023-04-11T00:00:00"/>
        <d v="2023-08-13T00:00:00"/>
        <d v="2023-03-27T00:00:00"/>
        <d v="2024-09-22T00:00:00"/>
        <d v="2023-09-07T00:00:00"/>
        <d v="2023-10-22T00:00:00"/>
        <d v="2024-10-03T00:00:00"/>
        <d v="2024-06-13T00:00:00"/>
        <d v="2023-12-02T00:00:00"/>
        <d v="2024-01-03T00:00:00"/>
        <d v="2024-03-30T00:00:00"/>
        <d v="2024-02-15T00:00:00"/>
        <d v="2023-08-26T00:00:00"/>
        <d v="2024-10-12T00:00:00"/>
        <d v="2023-09-08T00:00:00"/>
        <d v="2023-08-14T00:00:00"/>
        <d v="2023-12-17T00:00:00"/>
        <d v="2024-11-01T00:00:00"/>
        <d v="2023-12-27T00:00:00"/>
        <d v="2024-08-23T00:00:00"/>
        <d v="2024-03-15T00:00:00"/>
        <d v="2023-05-18T00:00:00"/>
        <d v="2024-04-28T00:00:00"/>
        <d v="2023-01-28T00:00:00"/>
        <d v="2024-12-12T00:00:00"/>
        <d v="2024-05-06T00:00:00"/>
        <d v="2023-04-09T00:00:00"/>
        <d v="2023-02-27T00:00:00"/>
        <d v="2023-07-06T00:00:00"/>
        <d v="2024-09-05T00:00:00"/>
        <d v="2024-05-03T00:00:00"/>
        <d v="2024-05-28T00:00:00"/>
        <d v="2023-05-20T00:00:00"/>
        <d v="2023-02-24T00:00:00"/>
        <d v="2024-01-14T00:00:00"/>
        <d v="2023-05-05T00:00:00"/>
        <d v="2024-04-04T00:00:00"/>
        <d v="2024-08-09T00:00:00"/>
        <d v="2023-03-06T00:00:00"/>
        <d v="2024-07-07T00:00:00"/>
        <d v="2023-02-06T00:00:00"/>
        <d v="2024-04-13T00:00:00"/>
        <d v="2023-02-05T00:00:00"/>
        <d v="2024-03-29T00:00:00"/>
        <d v="2024-09-28T00:00:00"/>
        <d v="2024-04-06T00:00:00"/>
        <d v="2024-04-03T00:00:00"/>
        <d v="2024-05-23T00:00:00"/>
        <d v="2023-07-04T00:00:00"/>
        <d v="2023-09-24T00:00:00"/>
        <d v="2023-07-16T00:00:00"/>
        <d v="2024-08-26T00:00:00"/>
        <d v="2024-04-17T00:00:00"/>
        <d v="2023-10-09T00:00:00"/>
        <d v="2024-08-08T00:00:00"/>
        <d v="2023-09-19T00:00:00"/>
        <d v="2023-11-16T00:00:00"/>
        <d v="2024-07-23T00:00:00"/>
        <d v="2024-04-15T00:00:00"/>
        <d v="2023-09-16T00:00:00"/>
        <d v="2024-07-08T00:00:00"/>
        <d v="2024-03-06T00:00:00"/>
        <d v="2023-04-13T00:00:00"/>
        <d v="2024-08-28T00:00:00"/>
        <d v="2024-08-27T00:00:00"/>
        <d v="2023-02-23T00:00:00"/>
        <d v="2024-10-09T00:00:00"/>
        <d v="2024-03-02T00:00:00"/>
        <d v="2024-04-18T00:00:00"/>
        <d v="2024-01-05T00:00:00"/>
        <d v="2023-07-07T00:00:00"/>
        <d v="2024-05-29T00:00:00"/>
        <d v="2024-06-02T00:00:00"/>
        <d v="2023-06-04T00:00:00"/>
        <d v="2024-07-11T00:00:00"/>
        <d v="2024-08-22T00:00:00"/>
        <d v="2023-08-16T00:00:00"/>
        <d v="2024-07-31T00:00:00"/>
        <d v="2023-03-12T00:00:00"/>
        <d v="2023-06-12T00:00:00"/>
        <d v="2024-04-02T00:00:00"/>
        <d v="2024-04-01T00:00:00"/>
        <d v="2023-12-13T00:00:00"/>
        <d v="2024-04-12T00:00:00"/>
        <d v="2023-06-14T00:00:00"/>
        <d v="2024-08-12T00:00:00"/>
        <d v="2023-07-27T00:00:00"/>
        <d v="2023-12-22T00:00:00"/>
        <d v="2023-10-25T00:00:00"/>
        <d v="2024-02-03T00:00:00"/>
        <d v="2024-07-27T00:00:00"/>
        <d v="2024-01-09T00:00:00"/>
        <d v="2024-02-07T00:00:00"/>
        <d v="2023-11-01T00:00:00"/>
        <d v="2024-01-27T00:00:00"/>
        <d v="2023-03-03T00:00:00"/>
        <d v="2024-03-07T00:00:00"/>
        <d v="2024-03-27T00:00:00"/>
        <d v="2024-03-10T00:00:00"/>
        <d v="2024-03-18T00:00:00"/>
        <d v="2023-06-19T00:00:00"/>
        <d v="2023-02-12T00:00:00"/>
        <d v="2024-09-25T00:00:00"/>
        <d v="2023-08-09T00:00:00"/>
        <d v="2023-09-09T00:00:00"/>
        <d v="2023-10-02T00:00:00"/>
        <d v="2023-08-28T00:00:00"/>
        <d v="2023-02-21T00:00:00"/>
        <d v="2023-05-26T00:00:00"/>
        <d v="2023-08-10T00:00:00"/>
        <d v="2023-06-05T00:00:00"/>
        <d v="2023-06-21T00:00:00"/>
        <d v="2023-12-28T00:00:00"/>
        <d v="2024-06-08T00:00:00"/>
        <d v="2024-09-21T00:00:00"/>
        <d v="2024-10-17T00:00:00"/>
        <d v="2023-11-20T00:00:00"/>
        <d v="2024-06-09T00:00:00"/>
        <d v="2024-06-15T00:00:00"/>
        <d v="2024-09-06T00:00:00"/>
        <d v="2023-07-17T00:00:00"/>
        <d v="2023-05-31T00:00:00"/>
        <d v="2024-07-22T00:00:00"/>
        <d v="2024-09-03T00:00:00"/>
        <d v="2024-11-16T00:00:00"/>
        <d v="2024-10-30T00:00:00"/>
        <d v="2024-07-20T00:00:00"/>
        <d v="2023-12-30T00:00:00"/>
        <d v="2023-11-25T00:00:00"/>
        <d v="2023-12-05T00:00:00"/>
        <d v="2024-03-21T00:00:00"/>
        <d v="2023-03-29T00:00:00"/>
        <d v="2023-03-10T00:00:00"/>
        <d v="2023-05-15T00:00:00"/>
        <d v="2023-07-30T00:00:00"/>
        <d v="2024-02-10T00:00:00"/>
        <d v="2024-03-26T00:00:00"/>
        <d v="2023-07-18T00:00:00"/>
        <d v="2023-02-14T00:00:00"/>
        <d v="2024-10-27T00:00:00"/>
        <d v="2023-09-26T00:00:00"/>
        <d v="2023-12-26T00:00:00"/>
        <d v="2024-06-06T00:00:00"/>
        <d v="2024-07-10T00:00:00"/>
        <d v="2024-07-17T00:00:00"/>
        <d v="2024-07-29T00:00:00"/>
        <d v="2023-11-04T00:00:00"/>
        <d v="2024-10-16T00:00:00"/>
        <d v="2023-11-23T00:00:00"/>
        <d v="2024-11-21T00:00:00"/>
        <d v="2023-10-21T00:00:00"/>
        <d v="2023-10-29T00:00:00"/>
        <d v="2023-08-15T00:00:00"/>
        <d v="2024-12-13T00:00:00"/>
        <d v="2024-11-10T00:00:00"/>
        <d v="2023-11-30T00:00:00"/>
        <d v="2024-07-30T00:00:00"/>
        <d v="2024-03-16T00:00:00"/>
        <d v="2024-10-22T00:00:00"/>
        <d v="2024-02-29T00:00:00"/>
        <d v="2023-06-23T00:00:00"/>
        <d v="2023-02-13T00:00:00"/>
        <d v="2024-02-17T00:00:00"/>
        <d v="2023-11-07T00:00:00"/>
        <d v="2023-01-23T00:00:00"/>
        <d v="2024-07-14T00:00:00"/>
        <d v="2023-12-06T00:00:00"/>
        <d v="2023-09-17T00:00:00"/>
        <d v="2023-04-03T00:00:00"/>
        <d v="2023-12-19T00:00:00"/>
        <d v="2023-02-26T00:00:00"/>
        <d v="2023-04-25T00:00:00"/>
        <d v="2023-03-21T00:00:00"/>
        <d v="2024-10-21T00:00:00"/>
        <d v="2023-09-04T00:00:00"/>
        <d v="2024-03-31T00:00:00"/>
        <d v="2024-11-03T00:00:00"/>
        <d v="2024-01-15T00:00:00"/>
        <d v="2023-08-24T00:00:00"/>
        <d v="2023-02-10T00:00:00"/>
        <d v="2023-04-18T00:00:00"/>
        <d v="2024-05-22T00:00:00"/>
        <d v="2024-10-23T00:00:00"/>
        <d v="2023-07-12T00:00:00"/>
        <d v="2024-02-04T00:00:00"/>
        <d v="2024-05-16T00:00:00"/>
        <d v="2024-04-16T00:00:00"/>
        <d v="2024-04-27T00:00:00"/>
        <d v="2024-01-18T00:00:00"/>
        <d v="2023-06-15T00:00:00"/>
        <d v="2023-02-07T00:00:00"/>
        <d v="2024-11-09T00:00:00"/>
        <d v="2023-11-17T00:00:00"/>
        <d v="2023-09-02T00:00:00"/>
        <d v="2023-03-09T00:00:00"/>
        <d v="2023-12-21T00:00:00"/>
        <d v="2023-08-30T00:00:00"/>
        <d v="2024-04-14T00:00:00"/>
        <d v="2023-07-24T00:00:00"/>
        <d v="2024-03-24T00:00:00"/>
        <d v="2023-09-25T00:00:00"/>
        <d v="2024-02-01T00:00:00"/>
      </sharedItems>
      <fieldGroup par="13"/>
    </cacheField>
    <cacheField name="Months (InvoiceDate)" numFmtId="0" databaseField="0">
      <fieldGroup base="6">
        <rangePr groupBy="months" startDate="2023-01-21T00:00:00" endDate="2025-01-21T00:00:00"/>
        <groupItems count="14">
          <s v="&lt;2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01/2025"/>
        </groupItems>
      </fieldGroup>
    </cacheField>
    <cacheField name="Quarters (InvoiceDate)" numFmtId="0" databaseField="0">
      <fieldGroup base="6">
        <rangePr groupBy="quarters" startDate="2023-01-21T00:00:00" endDate="2025-01-21T00:00:00"/>
        <groupItems count="6">
          <s v="&lt;21/01/2023"/>
          <s v="Qtr1"/>
          <s v="Qtr2"/>
          <s v="Qtr3"/>
          <s v="Qtr4"/>
          <s v="&gt;21/01/2025"/>
        </groupItems>
      </fieldGroup>
    </cacheField>
    <cacheField name="Years (InvoiceDate)" numFmtId="0" databaseField="0">
      <fieldGroup base="6">
        <rangePr groupBy="years" startDate="2023-01-21T00:00:00" endDate="2025-01-21T00:00:00"/>
        <groupItems count="5">
          <s v="&lt;21/01/2023"/>
          <s v="2023"/>
          <s v="2024"/>
          <s v="2025"/>
          <s v="&gt;21/01/2025"/>
        </groupItems>
      </fieldGroup>
    </cacheField>
    <cacheField name="Months (PaymentDate)" numFmtId="0" databaseField="0">
      <fieldGroup base="7">
        <rangePr groupBy="months" startDate="2023-01-21T00:00:00" endDate="2024-12-30T00:00:00"/>
        <groupItems count="14">
          <s v="&lt;2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4"/>
        </groupItems>
      </fieldGroup>
    </cacheField>
    <cacheField name="Quarters (PaymentDate)" numFmtId="0" databaseField="0">
      <fieldGroup base="7">
        <rangePr groupBy="quarters" startDate="2023-01-21T00:00:00" endDate="2024-12-30T00:00:00"/>
        <groupItems count="6">
          <s v="&lt;21/01/2023"/>
          <s v="Qtr1"/>
          <s v="Qtr2"/>
          <s v="Qtr3"/>
          <s v="Qtr4"/>
          <s v="&gt;30/12/2024"/>
        </groupItems>
      </fieldGroup>
    </cacheField>
    <cacheField name="Years (PaymentDate)" numFmtId="0" databaseField="0">
      <fieldGroup base="7">
        <rangePr groupBy="years" startDate="2023-01-21T00:00:00" endDate="2024-12-30T00:00:00"/>
        <groupItems count="4">
          <s v="&lt;21/01/2023"/>
          <s v="2023"/>
          <s v="2024"/>
          <s v="&gt;30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sav shakya" refreshedDate="45680.882076851849" createdVersion="8" refreshedVersion="8" minRefreshableVersion="3" recordCount="1501" xr:uid="{31D1699E-B0E7-4361-832F-068FD3EBDB43}">
  <cacheSource type="worksheet">
    <worksheetSource ref="A1:H1048576" sheet="Invoices"/>
  </cacheSource>
  <cacheFields count="11">
    <cacheField name="InvNum" numFmtId="0">
      <sharedItems containsString="0" containsBlank="1" containsNumber="1" containsInteger="1" minValue="10023" maxValue="99997"/>
    </cacheField>
    <cacheField name="CustID" numFmtId="0">
      <sharedItems containsBlank="1"/>
    </cacheField>
    <cacheField name="ItemNum" numFmtId="0">
      <sharedItems containsBlank="1" count="51">
        <s v="IT022"/>
        <s v="IT030"/>
        <s v="IT034"/>
        <s v="IT019"/>
        <s v="IT044"/>
        <s v="IT005"/>
        <s v="IT040"/>
        <s v="IT041"/>
        <s v="IT032"/>
        <s v="IT028"/>
        <s v="IT045"/>
        <s v="IT042"/>
        <s v="IT037"/>
        <s v="IT002"/>
        <s v="IT017"/>
        <s v="IT025"/>
        <s v="IT043"/>
        <s v="IT027"/>
        <s v="IT047"/>
        <s v="IT021"/>
        <s v="IT038"/>
        <s v="IT016"/>
        <s v="IT023"/>
        <s v="IT001"/>
        <s v="IT020"/>
        <s v="IT010"/>
        <s v="IT011"/>
        <s v="IT009"/>
        <s v="IT049"/>
        <s v="IT036"/>
        <s v="IT000"/>
        <s v="IT003"/>
        <s v="IT013"/>
        <s v="IT033"/>
        <s v="IT026"/>
        <s v="IT004"/>
        <s v="IT031"/>
        <s v="IT035"/>
        <s v="IT039"/>
        <s v="IT008"/>
        <s v="IT046"/>
        <s v="IT014"/>
        <s v="IT007"/>
        <s v="IT006"/>
        <s v="IT018"/>
        <s v="IT048"/>
        <s v="IT024"/>
        <s v="IT012"/>
        <s v="IT029"/>
        <s v="IT015"/>
        <m/>
      </sharedItems>
    </cacheField>
    <cacheField name="UnitPrice" numFmtId="0">
      <sharedItems containsString="0" containsBlank="1" containsNumber="1" minValue="45.72" maxValue="988.73"/>
    </cacheField>
    <cacheField name="Qty" numFmtId="0">
      <sharedItems containsString="0" containsBlank="1" containsNumber="1" containsInteger="1" minValue="1" maxValue="50"/>
    </cacheField>
    <cacheField name="InvoiceTotal" numFmtId="0">
      <sharedItems containsString="0" containsBlank="1" containsNumber="1" minValue="110.41" maxValue="49423.5"/>
    </cacheField>
    <cacheField name="InvoiceDate" numFmtId="0">
      <sharedItems containsNonDate="0" containsDate="1" containsString="0" containsBlank="1" minDate="2023-01-21T00:00:00" maxDate="2025-01-21T00:00:00" count="632">
        <d v="2023-11-21T00:00:00"/>
        <d v="2024-11-22T00:00:00"/>
        <d v="2024-06-24T00:00:00"/>
        <d v="2024-11-12T00:00:00"/>
        <d v="2024-12-13T00:00:00"/>
        <d v="2024-05-19T00:00:00"/>
        <d v="2024-03-31T00:00:00"/>
        <d v="2024-02-19T00:00:00"/>
        <d v="2024-06-05T00:00:00"/>
        <d v="2023-02-09T00:00:00"/>
        <d v="2023-04-20T00:00:00"/>
        <d v="2023-09-28T00:00:00"/>
        <d v="2023-10-03T00:00:00"/>
        <d v="2024-12-21T00:00:00"/>
        <d v="2023-11-13T00:00:00"/>
        <d v="2024-12-26T00:00:00"/>
        <d v="2023-05-15T00:00:00"/>
        <d v="2023-03-14T00:00:00"/>
        <d v="2023-08-15T00:00:00"/>
        <d v="2023-12-12T00:00:00"/>
        <d v="2025-01-01T00:00:00"/>
        <d v="2023-12-18T00:00:00"/>
        <d v="2023-09-25T00:00:00"/>
        <d v="2023-10-30T00:00:00"/>
        <d v="2024-09-14T00:00:00"/>
        <d v="2024-08-26T00:00:00"/>
        <d v="2024-11-10T00:00:00"/>
        <d v="2024-12-04T00:00:00"/>
        <d v="2024-01-06T00:00:00"/>
        <d v="2023-06-30T00:00:00"/>
        <d v="2024-08-19T00:00:00"/>
        <d v="2024-03-16T00:00:00"/>
        <d v="2024-01-28T00:00:00"/>
        <d v="2024-07-30T00:00:00"/>
        <d v="2023-12-06T00:00:00"/>
        <d v="2024-10-30T00:00:00"/>
        <d v="2023-02-19T00:00:00"/>
        <d v="2024-11-06T00:00:00"/>
        <d v="2023-05-09T00:00:00"/>
        <d v="2023-12-09T00:00:00"/>
        <d v="2024-11-24T00:00:00"/>
        <d v="2024-08-24T00:00:00"/>
        <d v="2024-01-04T00:00:00"/>
        <d v="2023-10-09T00:00:00"/>
        <d v="2024-08-15T00:00:00"/>
        <d v="2023-08-03T00:00:00"/>
        <d v="2024-07-21T00:00:00"/>
        <d v="2023-06-09T00:00:00"/>
        <d v="2023-05-05T00:00:00"/>
        <d v="2023-03-29T00:00:00"/>
        <d v="2024-12-15T00:00:00"/>
        <d v="2024-02-08T00:00:00"/>
        <d v="2023-10-28T00:00:00"/>
        <d v="2023-04-13T00:00:00"/>
        <d v="2023-10-23T00:00:00"/>
        <d v="2023-11-26T00:00:00"/>
        <d v="2024-02-29T00:00:00"/>
        <d v="2024-07-20T00:00:00"/>
        <d v="2024-04-18T00:00:00"/>
        <d v="2024-07-28T00:00:00"/>
        <d v="2023-03-16T00:00:00"/>
        <d v="2023-08-26T00:00:00"/>
        <d v="2024-08-22T00:00:00"/>
        <d v="2024-02-16T00:00:00"/>
        <d v="2024-04-15T00:00:00"/>
        <d v="2023-11-09T00:00:00"/>
        <d v="2023-11-01T00:00:00"/>
        <d v="2023-09-26T00:00:00"/>
        <d v="2024-10-23T00:00:00"/>
        <d v="2024-01-19T00:00:00"/>
        <d v="2024-09-06T00:00:00"/>
        <d v="2023-11-20T00:00:00"/>
        <d v="2024-10-03T00:00:00"/>
        <d v="2024-12-18T00:00:00"/>
        <d v="2024-08-10T00:00:00"/>
        <d v="2024-07-02T00:00:00"/>
        <d v="2024-12-08T00:00:00"/>
        <d v="2025-01-05T00:00:00"/>
        <d v="2024-02-13T00:00:00"/>
        <d v="2023-04-30T00:00:00"/>
        <d v="2023-02-02T00:00:00"/>
        <d v="2023-06-25T00:00:00"/>
        <d v="2024-05-27T00:00:00"/>
        <d v="2024-09-30T00:00:00"/>
        <d v="2023-10-14T00:00:00"/>
        <d v="2024-06-19T00:00:00"/>
        <d v="2023-03-23T00:00:00"/>
        <d v="2024-06-11T00:00:00"/>
        <d v="2023-11-24T00:00:00"/>
        <d v="2023-02-14T00:00:00"/>
        <d v="2023-11-06T00:00:00"/>
        <d v="2023-07-08T00:00:00"/>
        <d v="2024-03-26T00:00:00"/>
        <d v="2023-12-22T00:00:00"/>
        <d v="2023-05-27T00:00:00"/>
        <d v="2023-12-07T00:00:00"/>
        <d v="2023-05-01T00:00:00"/>
        <d v="2023-02-17T00:00:00"/>
        <d v="2025-01-06T00:00:00"/>
        <d v="2024-02-20T00:00:00"/>
        <d v="2024-02-27T00:00:00"/>
        <d v="2023-08-21T00:00:00"/>
        <d v="2024-05-21T00:00:00"/>
        <d v="2023-05-14T00:00:00"/>
        <d v="2024-11-01T00:00:00"/>
        <d v="2024-11-30T00:00:00"/>
        <d v="2023-06-19T00:00:00"/>
        <d v="2024-07-11T00:00:00"/>
        <d v="2023-05-25T00:00:00"/>
        <d v="2023-07-15T00:00:00"/>
        <d v="2024-02-25T00:00:00"/>
        <d v="2024-07-26T00:00:00"/>
        <d v="2023-02-26T00:00:00"/>
        <d v="2024-09-26T00:00:00"/>
        <d v="2024-08-12T00:00:00"/>
        <d v="2024-07-24T00:00:00"/>
        <d v="2024-01-15T00:00:00"/>
        <d v="2023-11-04T00:00:00"/>
        <d v="2023-12-31T00:00:00"/>
        <d v="2024-04-07T00:00:00"/>
        <d v="2023-06-27T00:00:00"/>
        <d v="2023-05-19T00:00:00"/>
        <d v="2023-11-14T00:00:00"/>
        <d v="2024-08-08T00:00:00"/>
        <d v="2024-11-28T00:00:00"/>
        <d v="2023-10-02T00:00:00"/>
        <d v="2024-09-11T00:00:00"/>
        <d v="2024-04-22T00:00:00"/>
        <d v="2024-11-19T00:00:00"/>
        <d v="2024-07-12T00:00:00"/>
        <d v="2024-02-21T00:00:00"/>
        <d v="2024-10-04T00:00:00"/>
        <d v="2024-05-24T00:00:00"/>
        <d v="2023-11-15T00:00:00"/>
        <d v="2024-07-01T00:00:00"/>
        <d v="2023-06-12T00:00:00"/>
        <d v="2023-04-17T00:00:00"/>
        <d v="2024-06-18T00:00:00"/>
        <d v="2024-03-06T00:00:00"/>
        <d v="2024-01-26T00:00:00"/>
        <d v="2024-06-20T00:00:00"/>
        <d v="2024-03-12T00:00:00"/>
        <d v="2023-02-23T00:00:00"/>
        <d v="2024-04-03T00:00:00"/>
        <d v="2023-07-28T00:00:00"/>
        <d v="2024-06-09T00:00:00"/>
        <d v="2024-01-16T00:00:00"/>
        <d v="2023-11-16T00:00:00"/>
        <d v="2024-01-07T00:00:00"/>
        <d v="2024-05-22T00:00:00"/>
        <d v="2024-12-22T00:00:00"/>
        <d v="2023-05-13T00:00:00"/>
        <d v="2024-12-25T00:00:00"/>
        <d v="2024-08-11T00:00:00"/>
        <d v="2023-03-03T00:00:00"/>
        <d v="2024-01-27T00:00:00"/>
        <d v="2024-10-10T00:00:00"/>
        <d v="2023-03-12T00:00:00"/>
        <d v="2023-05-12T00:00:00"/>
        <d v="2024-08-18T00:00:00"/>
        <d v="2024-11-11T00:00:00"/>
        <d v="2023-08-02T00:00:00"/>
        <d v="2023-07-16T00:00:00"/>
        <d v="2024-08-25T00:00:00"/>
        <d v="2024-04-16T00:00:00"/>
        <d v="2024-11-13T00:00:00"/>
        <d v="2023-05-26T00:00:00"/>
        <d v="2023-06-13T00:00:00"/>
        <d v="2023-04-19T00:00:00"/>
        <d v="2024-06-03T00:00:00"/>
        <d v="2024-12-17T00:00:00"/>
        <d v="2024-10-26T00:00:00"/>
        <d v="2023-08-06T00:00:00"/>
        <d v="2024-12-11T00:00:00"/>
        <d v="2023-08-29T00:00:00"/>
        <d v="2023-04-10T00:00:00"/>
        <d v="2023-02-21T00:00:00"/>
        <d v="2024-02-09T00:00:00"/>
        <d v="2024-12-10T00:00:00"/>
        <d v="2023-08-17T00:00:00"/>
        <d v="2024-01-20T00:00:00"/>
        <d v="2024-07-19T00:00:00"/>
        <d v="2024-09-12T00:00:00"/>
        <d v="2024-10-24T00:00:00"/>
        <d v="2023-05-24T00:00:00"/>
        <d v="2023-10-12T00:00:00"/>
        <d v="2024-05-16T00:00:00"/>
        <d v="2024-08-21T00:00:00"/>
        <d v="2023-08-10T00:00:00"/>
        <d v="2024-08-13T00:00:00"/>
        <d v="2025-01-16T00:00:00"/>
        <d v="2024-03-20T00:00:00"/>
        <d v="2024-07-09T00:00:00"/>
        <d v="2024-04-21T00:00:00"/>
        <d v="2024-01-11T00:00:00"/>
        <d v="2023-06-03T00:00:00"/>
        <d v="2023-09-17T00:00:00"/>
        <d v="2024-02-24T00:00:00"/>
        <d v="2025-01-17T00:00:00"/>
        <d v="2025-01-02T00:00:00"/>
        <d v="2023-11-03T00:00:00"/>
        <d v="2024-04-29T00:00:00"/>
        <d v="2024-09-04T00:00:00"/>
        <d v="2024-03-24T00:00:00"/>
        <d v="2024-10-12T00:00:00"/>
        <d v="2024-04-10T00:00:00"/>
        <d v="2023-06-10T00:00:00"/>
        <d v="2023-09-03T00:00:00"/>
        <d v="2024-04-12T00:00:00"/>
        <d v="2024-12-06T00:00:00"/>
        <d v="2024-10-17T00:00:00"/>
        <d v="2023-03-18T00:00:00"/>
        <d v="2024-01-02T00:00:00"/>
        <d v="2024-08-30T00:00:00"/>
        <d v="2023-07-12T00:00:00"/>
        <d v="2023-02-05T00:00:00"/>
        <d v="2024-05-09T00:00:00"/>
        <d v="2024-02-10T00:00:00"/>
        <d v="2024-04-04T00:00:00"/>
        <d v="2024-06-10T00:00:00"/>
        <d v="2023-09-27T00:00:00"/>
        <d v="2023-02-08T00:00:00"/>
        <d v="2024-11-18T00:00:00"/>
        <d v="2023-03-30T00:00:00"/>
        <d v="2024-01-24T00:00:00"/>
        <d v="2024-05-17T00:00:00"/>
        <d v="2023-06-16T00:00:00"/>
        <d v="2023-02-10T00:00:00"/>
        <d v="2024-07-10T00:00:00"/>
        <d v="2025-01-13T00:00:00"/>
        <d v="2023-02-03T00:00:00"/>
        <d v="2024-10-15T00:00:00"/>
        <d v="2023-02-27T00:00:00"/>
        <d v="2023-10-06T00:00:00"/>
        <d v="2025-01-09T00:00:00"/>
        <d v="2023-07-30T00:00:00"/>
        <d v="2023-10-20T00:00:00"/>
        <d v="2024-05-05T00:00:00"/>
        <d v="2023-08-18T00:00:00"/>
        <d v="2024-07-03T00:00:00"/>
        <d v="2023-07-06T00:00:00"/>
        <d v="2023-12-08T00:00:00"/>
        <d v="2024-05-15T00:00:00"/>
        <d v="2024-08-01T00:00:00"/>
        <d v="2023-06-24T00:00:00"/>
        <d v="2023-02-13T00:00:00"/>
        <d v="2024-08-28T00:00:00"/>
        <d v="2024-08-23T00:00:00"/>
        <d v="2024-01-13T00:00:00"/>
        <d v="2023-12-26T00:00:00"/>
        <d v="2024-04-24T00:00:00"/>
        <d v="2023-04-11T00:00:00"/>
        <d v="2023-02-22T00:00:00"/>
        <d v="2024-06-01T00:00:00"/>
        <d v="2023-09-09T00:00:00"/>
        <d v="2024-05-23T00:00:00"/>
        <d v="2024-11-15T00:00:00"/>
        <d v="2024-05-01T00:00:00"/>
        <d v="2023-08-19T00:00:00"/>
        <d v="2023-10-11T00:00:00"/>
        <d v="2023-03-17T00:00:00"/>
        <d v="2023-04-28T00:00:00"/>
        <d v="2023-09-22T00:00:00"/>
        <d v="2023-12-03T00:00:00"/>
        <d v="2024-05-08T00:00:00"/>
        <d v="2023-03-05T00:00:00"/>
        <d v="2024-07-08T00:00:00"/>
        <d v="2024-08-03T00:00:00"/>
        <d v="2024-11-05T00:00:00"/>
        <d v="2023-11-22T00:00:00"/>
        <d v="2024-04-08T00:00:00"/>
        <d v="2024-10-13T00:00:00"/>
        <d v="2024-10-25T00:00:00"/>
        <d v="2024-01-10T00:00:00"/>
        <d v="2023-12-05T00:00:00"/>
        <d v="2023-06-15T00:00:00"/>
        <d v="2023-05-08T00:00:00"/>
        <d v="2024-06-21T00:00:00"/>
        <d v="2023-12-11T00:00:00"/>
        <d v="2023-01-30T00:00:00"/>
        <d v="2024-05-28T00:00:00"/>
        <d v="2023-12-04T00:00:00"/>
        <d v="2023-07-13T00:00:00"/>
        <d v="2025-01-10T00:00:00"/>
        <d v="2023-02-18T00:00:00"/>
        <d v="2023-06-20T00:00:00"/>
        <d v="2023-06-28T00:00:00"/>
        <d v="2023-04-24T00:00:00"/>
        <d v="2024-10-22T00:00:00"/>
        <d v="2023-02-11T00:00:00"/>
        <d v="2024-11-20T00:00:00"/>
        <d v="2024-01-30T00:00:00"/>
        <d v="2023-04-15T00:00:00"/>
        <d v="2024-07-31T00:00:00"/>
        <d v="2024-05-04T00:00:00"/>
        <d v="2023-03-20T00:00:00"/>
        <d v="2024-09-01T00:00:00"/>
        <d v="2024-11-27T00:00:00"/>
        <d v="2024-08-14T00:00:00"/>
        <d v="2023-11-18T00:00:00"/>
        <d v="2023-12-23T00:00:00"/>
        <d v="2023-11-12T00:00:00"/>
        <d v="2023-08-12T00:00:00"/>
        <d v="2024-06-07T00:00:00"/>
        <d v="2024-08-07T00:00:00"/>
        <d v="2024-04-28T00:00:00"/>
        <d v="2023-06-14T00:00:00"/>
        <d v="2024-03-19T00:00:00"/>
        <d v="2023-05-02T00:00:00"/>
        <d v="2024-04-30T00:00:00"/>
        <d v="2023-11-17T00:00:00"/>
        <d v="2023-04-23T00:00:00"/>
        <d v="2023-07-07T00:00:00"/>
        <d v="2024-10-31T00:00:00"/>
        <d v="2024-09-17T00:00:00"/>
        <d v="2023-10-16T00:00:00"/>
        <d v="2024-10-09T00:00:00"/>
        <d v="2023-04-21T00:00:00"/>
        <d v="2024-07-22T00:00:00"/>
        <d v="2023-04-25T00:00:00"/>
        <d v="2023-12-02T00:00:00"/>
        <d v="2023-09-10T00:00:00"/>
        <d v="2023-03-13T00:00:00"/>
        <d v="2024-07-05T00:00:00"/>
        <d v="2023-06-17T00:00:00"/>
        <d v="2023-08-13T00:00:00"/>
        <d v="2023-09-29T00:00:00"/>
        <d v="2023-02-28T00:00:00"/>
        <d v="2024-11-02T00:00:00"/>
        <d v="2024-04-09T00:00:00"/>
        <d v="2023-04-29T00:00:00"/>
        <d v="2024-01-22T00:00:00"/>
        <d v="2024-12-29T00:00:00"/>
        <d v="2024-01-17T00:00:00"/>
        <d v="2024-10-02T00:00:00"/>
        <d v="2024-09-29T00:00:00"/>
        <d v="2024-02-05T00:00:00"/>
        <d v="2024-03-07T00:00:00"/>
        <d v="2023-10-17T00:00:00"/>
        <d v="2023-12-25T00:00:00"/>
        <d v="2023-07-03T00:00:00"/>
        <d v="2023-10-24T00:00:00"/>
        <d v="2023-08-27T00:00:00"/>
        <d v="2024-03-08T00:00:00"/>
        <d v="2024-01-09T00:00:00"/>
        <d v="2024-12-01T00:00:00"/>
        <d v="2023-05-29T00:00:00"/>
        <d v="2024-11-26T00:00:00"/>
        <d v="2024-02-12T00:00:00"/>
        <d v="2024-09-20T00:00:00"/>
        <d v="2023-09-19T00:00:00"/>
        <d v="2023-10-27T00:00:00"/>
        <d v="2023-09-15T00:00:00"/>
        <d v="2023-12-29T00:00:00"/>
        <d v="2024-07-07T00:00:00"/>
        <d v="2024-01-21T00:00:00"/>
        <d v="2023-12-15T00:00:00"/>
        <d v="2024-12-12T00:00:00"/>
        <d v="2023-03-11T00:00:00"/>
        <d v="2023-03-26T00:00:00"/>
        <d v="2024-01-05T00:00:00"/>
        <d v="2025-01-07T00:00:00"/>
        <d v="2024-09-16T00:00:00"/>
        <d v="2023-04-01T00:00:00"/>
        <d v="2025-01-19T00:00:00"/>
        <d v="2024-09-05T00:00:00"/>
        <d v="2024-02-04T00:00:00"/>
        <d v="2024-12-30T00:00:00"/>
        <d v="2023-03-06T00:00:00"/>
        <d v="2024-01-31T00:00:00"/>
        <d v="2023-07-29T00:00:00"/>
        <d v="2024-04-02T00:00:00"/>
        <d v="2023-07-22T00:00:00"/>
        <d v="2023-11-25T00:00:00"/>
        <d v="2023-07-19T00:00:00"/>
        <d v="2023-09-30T00:00:00"/>
        <d v="2024-12-05T00:00:00"/>
        <d v="2024-08-02T00:00:00"/>
        <d v="2023-02-12T00:00:00"/>
        <d v="2023-08-01T00:00:00"/>
        <d v="2023-03-21T00:00:00"/>
        <d v="2024-08-09T00:00:00"/>
        <d v="2023-05-04T00:00:00"/>
        <d v="2023-06-06T00:00:00"/>
        <d v="2023-05-06T00:00:00"/>
        <d v="2024-10-06T00:00:00"/>
        <d v="2023-11-08T00:00:00"/>
        <d v="2024-05-10T00:00:00"/>
        <d v="2023-12-21T00:00:00"/>
        <d v="2023-01-25T00:00:00"/>
        <d v="2024-04-26T00:00:00"/>
        <d v="2024-03-23T00:00:00"/>
        <d v="2024-03-04T00:00:00"/>
        <d v="2023-07-24T00:00:00"/>
        <d v="2025-01-12T00:00:00"/>
        <d v="2023-12-17T00:00:00"/>
        <d v="2023-07-21T00:00:00"/>
        <d v="2024-09-08T00:00:00"/>
        <d v="2023-06-08T00:00:00"/>
        <d v="2024-04-25T00:00:00"/>
        <d v="2023-07-04T00:00:00"/>
        <d v="2023-06-29T00:00:00"/>
        <d v="2023-03-10T00:00:00"/>
        <d v="2023-11-30T00:00:00"/>
        <d v="2024-10-20T00:00:00"/>
        <d v="2023-03-27T00:00:00"/>
        <d v="2023-10-01T00:00:00"/>
        <d v="2023-03-19T00:00:00"/>
        <d v="2023-05-31T00:00:00"/>
        <d v="2023-02-01T00:00:00"/>
        <d v="2023-02-20T00:00:00"/>
        <d v="2023-08-30T00:00:00"/>
        <d v="2023-06-23T00:00:00"/>
        <d v="2023-12-14T00:00:00"/>
        <d v="2024-04-20T00:00:00"/>
        <d v="2023-06-05T00:00:00"/>
        <d v="2024-05-18T00:00:00"/>
        <d v="2024-04-27T00:00:00"/>
        <d v="2024-04-13T00:00:00"/>
        <d v="2024-11-09T00:00:00"/>
        <d v="2023-12-19T00:00:00"/>
        <d v="2024-11-21T00:00:00"/>
        <d v="2024-03-17T00:00:00"/>
        <d v="2023-11-11T00:00:00"/>
        <d v="2024-02-28T00:00:00"/>
        <d v="2024-06-27T00:00:00"/>
        <d v="2023-06-26T00:00:00"/>
        <d v="2023-12-13T00:00:00"/>
        <d v="2024-06-25T00:00:00"/>
        <d v="2023-08-11T00:00:00"/>
        <d v="2023-03-28T00:00:00"/>
        <d v="2024-03-18T00:00:00"/>
        <d v="2024-12-14T00:00:00"/>
        <d v="2024-06-30T00:00:00"/>
        <d v="2023-04-05T00:00:00"/>
        <d v="2024-12-07T00:00:00"/>
        <d v="2024-12-28T00:00:00"/>
        <d v="2024-10-29T00:00:00"/>
        <d v="2023-11-19T00:00:00"/>
        <d v="2024-05-14T00:00:00"/>
        <d v="2024-09-10T00:00:00"/>
        <d v="2024-03-01T00:00:00"/>
        <d v="2024-02-11T00:00:00"/>
        <d v="2023-08-05T00:00:00"/>
        <d v="2024-07-13T00:00:00"/>
        <d v="2023-05-03T00:00:00"/>
        <d v="2025-01-14T00:00:00"/>
        <d v="2024-12-03T00:00:00"/>
        <d v="2024-03-13T00:00:00"/>
        <d v="2023-10-29T00:00:00"/>
        <d v="2024-09-07T00:00:00"/>
        <d v="2024-06-17T00:00:00"/>
        <d v="2025-01-03T00:00:00"/>
        <d v="2024-09-13T00:00:00"/>
        <d v="2024-09-23T00:00:00"/>
        <d v="2024-11-29T00:00:00"/>
        <d v="2024-05-26T00:00:00"/>
        <d v="2023-05-22T00:00:00"/>
        <d v="2024-05-11T00:00:00"/>
        <d v="2023-04-06T00:00:00"/>
        <d v="2023-09-05T00:00:00"/>
        <d v="2023-01-26T00:00:00"/>
        <d v="2023-06-21T00:00:00"/>
        <d v="2023-04-09T00:00:00"/>
        <d v="2023-05-07T00:00:00"/>
        <d v="2024-02-07T00:00:00"/>
        <d v="2024-05-12T00:00:00"/>
        <d v="2023-07-20T00:00:00"/>
        <d v="2023-03-22T00:00:00"/>
        <d v="2023-03-02T00:00:00"/>
        <d v="2024-04-05T00:00:00"/>
        <d v="2024-11-03T00:00:00"/>
        <d v="2024-03-09T00:00:00"/>
        <d v="2023-10-26T00:00:00"/>
        <d v="2024-02-22T00:00:00"/>
        <d v="2023-08-20T00:00:00"/>
        <d v="2024-08-16T00:00:00"/>
        <d v="2025-01-04T00:00:00"/>
        <d v="2023-05-10T00:00:00"/>
        <d v="2023-11-02T00:00:00"/>
        <d v="2023-04-02T00:00:00"/>
        <d v="2023-08-16T00:00:00"/>
        <d v="2024-09-22T00:00:00"/>
        <d v="2023-09-23T00:00:00"/>
        <d v="2024-07-14T00:00:00"/>
        <d v="2023-05-17T00:00:00"/>
        <d v="2024-02-18T00:00:00"/>
        <d v="2023-08-23T00:00:00"/>
        <d v="2023-07-02T00:00:00"/>
        <d v="2023-09-12T00:00:00"/>
        <d v="2024-05-30T00:00:00"/>
        <d v="2024-08-06T00:00:00"/>
        <d v="2023-11-07T00:00:00"/>
        <d v="2025-01-20T00:00:00"/>
        <d v="2024-07-27T00:00:00"/>
        <d v="2024-05-25T00:00:00"/>
        <d v="2023-01-24T00:00:00"/>
        <d v="2023-09-21T00:00:00"/>
        <d v="2024-03-25T00:00:00"/>
        <d v="2023-05-16T00:00:00"/>
        <d v="2024-12-20T00:00:00"/>
        <d v="2024-02-26T00:00:00"/>
        <d v="2024-09-28T00:00:00"/>
        <d v="2024-10-16T00:00:00"/>
        <d v="2024-03-14T00:00:00"/>
        <d v="2023-05-11T00:00:00"/>
        <d v="2023-10-19T00:00:00"/>
        <d v="2023-02-06T00:00:00"/>
        <d v="2024-03-15T00:00:00"/>
        <d v="2023-07-25T00:00:00"/>
        <d v="2023-03-07T00:00:00"/>
        <d v="2023-10-31T00:00:00"/>
        <d v="2024-04-01T00:00:00"/>
        <d v="2024-05-20T00:00:00"/>
        <d v="2023-05-18T00:00:00"/>
        <d v="2024-05-02T00:00:00"/>
        <d v="2024-05-06T00:00:00"/>
        <d v="2023-10-21T00:00:00"/>
        <d v="2023-01-27T00:00:00"/>
        <d v="2023-07-18T00:00:00"/>
        <d v="2024-05-03T00:00:00"/>
        <d v="2024-05-13T00:00:00"/>
        <d v="2025-01-11T00:00:00"/>
        <d v="2024-10-14T00:00:00"/>
        <d v="2024-11-04T00:00:00"/>
        <d v="2023-07-26T00:00:00"/>
        <d v="2023-07-14T00:00:00"/>
        <d v="2023-08-28T00:00:00"/>
        <d v="2023-09-06T00:00:00"/>
        <d v="2024-08-29T00:00:00"/>
        <d v="2023-06-11T00:00:00"/>
        <d v="2024-10-18T00:00:00"/>
        <d v="2024-07-04T00:00:00"/>
        <d v="2023-04-27T00:00:00"/>
        <d v="2023-12-10T00:00:00"/>
        <d v="2024-10-01T00:00:00"/>
        <d v="2024-07-29T00:00:00"/>
        <d v="2024-03-05T00:00:00"/>
        <d v="2023-03-01T00:00:00"/>
        <d v="2024-04-19T00:00:00"/>
        <d v="2023-05-20T00:00:00"/>
        <d v="2023-07-31T00:00:00"/>
        <d v="2024-03-30T00:00:00"/>
        <d v="2024-10-08T00:00:00"/>
        <d v="2024-01-14T00:00:00"/>
        <d v="2023-09-08T00:00:00"/>
        <d v="2024-02-01T00:00:00"/>
        <d v="2023-07-01T00:00:00"/>
        <d v="2023-12-30T00:00:00"/>
        <d v="2024-06-29T00:00:00"/>
        <d v="2023-01-23T00:00:00"/>
        <d v="2024-03-22T00:00:00"/>
        <d v="2023-10-04T00:00:00"/>
        <d v="2024-09-24T00:00:00"/>
        <d v="2023-07-11T00:00:00"/>
        <d v="2024-01-12T00:00:00"/>
        <d v="2024-03-03T00:00:00"/>
        <d v="2024-10-05T00:00:00"/>
        <d v="2024-02-17T00:00:00"/>
        <d v="2023-04-04T00:00:00"/>
        <d v="2023-04-22T00:00:00"/>
        <d v="2023-09-18T00:00:00"/>
        <d v="2023-05-28T00:00:00"/>
        <d v="2024-01-23T00:00:00"/>
        <d v="2023-12-16T00:00:00"/>
        <d v="2024-01-08T00:00:00"/>
        <d v="2023-03-24T00:00:00"/>
        <d v="2023-05-23T00:00:00"/>
        <d v="2024-07-06T00:00:00"/>
        <d v="2024-09-19T00:00:00"/>
        <d v="2023-01-21T00:00:00"/>
        <d v="2023-09-02T00:00:00"/>
        <d v="2023-06-22T00:00:00"/>
        <d v="2023-12-20T00:00:00"/>
        <d v="2023-12-27T00:00:00"/>
        <d v="2023-06-02T00:00:00"/>
        <d v="2023-10-13T00:00:00"/>
        <d v="2023-08-25T00:00:00"/>
        <d v="2023-10-22T00:00:00"/>
        <d v="2023-04-07T00:00:00"/>
        <d v="2023-01-31T00:00:00"/>
        <d v="2024-06-14T00:00:00"/>
        <d v="2023-03-08T00:00:00"/>
        <d v="2023-10-18T00:00:00"/>
        <d v="2023-01-22T00:00:00"/>
        <d v="2024-01-01T00:00:00"/>
        <d v="2024-02-14T00:00:00"/>
        <d v="2023-08-08T00:00:00"/>
        <d v="2023-08-24T00:00:00"/>
        <d v="2024-04-23T00:00:00"/>
        <d v="2024-06-28T00:00:00"/>
        <d v="2024-04-11T00:00:00"/>
        <d v="2024-12-27T00:00:00"/>
        <d v="2023-08-04T00:00:00"/>
        <d v="2023-08-14T00:00:00"/>
        <d v="2024-12-16T00:00:00"/>
        <d v="2023-09-13T00:00:00"/>
        <d v="2023-07-17T00:00:00"/>
        <d v="2023-04-12T00:00:00"/>
        <d v="2023-06-04T00:00:00"/>
        <d v="2024-11-17T00:00:00"/>
        <d v="2023-04-26T00:00:00"/>
        <d v="2023-10-07T00:00:00"/>
        <d v="2023-09-20T00:00:00"/>
        <d v="2024-05-29T00:00:00"/>
        <d v="2023-06-07T00:00:00"/>
        <d v="2024-04-17T00:00:00"/>
        <d v="2024-10-21T00:00:00"/>
        <d v="2023-01-28T00:00:00"/>
        <d v="2024-09-21T00:00:00"/>
        <d v="2023-02-24T00:00:00"/>
        <d v="2023-03-04T00:00:00"/>
        <d v="2025-01-18T00:00:00"/>
        <d v="2023-05-30T00:00:00"/>
        <d v="2024-12-09T00:00:00"/>
        <d v="2023-04-03T00:00:00"/>
        <d v="2023-02-25T00:00:00"/>
        <d v="2024-08-04T00:00:00"/>
        <d v="2024-06-06T00:00:00"/>
        <d v="2023-11-27T00:00:00"/>
        <d v="2023-05-21T00:00:00"/>
        <d v="2023-04-18T00:00:00"/>
        <d v="2024-12-23T00:00:00"/>
        <d v="2024-07-17T00:00:00"/>
        <d v="2024-02-15T00:00:00"/>
        <d v="2024-10-07T00:00:00"/>
        <d v="2024-06-02T00:00:00"/>
        <d v="2023-11-10T00:00:00"/>
        <d v="2024-12-24T00:00:00"/>
        <d v="2024-11-23T00:00:00"/>
        <d v="2023-02-04T00:00:00"/>
        <m/>
      </sharedItems>
      <fieldGroup par="10"/>
    </cacheField>
    <cacheField name="PaymentDate" numFmtId="0">
      <sharedItems containsNonDate="0" containsDate="1" containsString="0" containsBlank="1" minDate="2023-01-21T00:00:00" maxDate="2024-12-30T00:00:00"/>
    </cacheField>
    <cacheField name="Months (InvoiceDate)" numFmtId="0" databaseField="0">
      <fieldGroup base="6">
        <rangePr groupBy="months" startDate="2023-01-21T00:00:00" endDate="2025-01-21T00:00:00"/>
        <groupItems count="14">
          <s v="&lt;2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01/2025"/>
        </groupItems>
      </fieldGroup>
    </cacheField>
    <cacheField name="Quarters (InvoiceDate)" numFmtId="0" databaseField="0">
      <fieldGroup base="6">
        <rangePr groupBy="quarters" startDate="2023-01-21T00:00:00" endDate="2025-01-21T00:00:00"/>
        <groupItems count="6">
          <s v="&lt;21/01/2023"/>
          <s v="Qtr1"/>
          <s v="Qtr2"/>
          <s v="Qtr3"/>
          <s v="Qtr4"/>
          <s v="&gt;21/01/2025"/>
        </groupItems>
      </fieldGroup>
    </cacheField>
    <cacheField name="Years (InvoiceDate)" numFmtId="0" databaseField="0">
      <fieldGroup base="6">
        <rangePr groupBy="years" startDate="2023-01-21T00:00:00" endDate="2025-01-21T00:00:00"/>
        <groupItems count="5">
          <s v="&lt;21/01/2023"/>
          <s v="2023"/>
          <s v="2024"/>
          <s v="2025"/>
          <s v="&gt;21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68847"/>
    <x v="0"/>
    <x v="0"/>
    <n v="855.99"/>
    <n v="10"/>
    <n v="8559.9"/>
    <x v="0"/>
    <x v="0"/>
  </r>
  <r>
    <n v="83031"/>
    <x v="1"/>
    <x v="1"/>
    <n v="683.98"/>
    <n v="27"/>
    <n v="18467.46"/>
    <x v="1"/>
    <x v="1"/>
  </r>
  <r>
    <n v="28616"/>
    <x v="2"/>
    <x v="2"/>
    <n v="68.05"/>
    <n v="47"/>
    <n v="3198.35"/>
    <x v="2"/>
    <x v="2"/>
  </r>
  <r>
    <n v="64807"/>
    <x v="3"/>
    <x v="3"/>
    <n v="449.74"/>
    <n v="5"/>
    <n v="2248.6999999999998"/>
    <x v="3"/>
    <x v="3"/>
  </r>
  <r>
    <n v="94901"/>
    <x v="4"/>
    <x v="4"/>
    <n v="546.64"/>
    <n v="19"/>
    <n v="10386.16"/>
    <x v="4"/>
    <x v="4"/>
  </r>
  <r>
    <n v="36511"/>
    <x v="5"/>
    <x v="5"/>
    <n v="622.16"/>
    <n v="19"/>
    <n v="11821.04"/>
    <x v="5"/>
    <x v="5"/>
  </r>
  <r>
    <n v="55572"/>
    <x v="5"/>
    <x v="6"/>
    <n v="222.47"/>
    <n v="4"/>
    <n v="889.88"/>
    <x v="6"/>
    <x v="6"/>
  </r>
  <r>
    <n v="65597"/>
    <x v="6"/>
    <x v="7"/>
    <n v="101.12"/>
    <n v="40"/>
    <n v="4044.8"/>
    <x v="7"/>
    <x v="7"/>
  </r>
  <r>
    <n v="46726"/>
    <x v="7"/>
    <x v="8"/>
    <n v="596.97"/>
    <n v="42"/>
    <n v="25072.74"/>
    <x v="8"/>
    <x v="8"/>
  </r>
  <r>
    <n v="72837"/>
    <x v="1"/>
    <x v="9"/>
    <n v="796.94"/>
    <n v="24"/>
    <n v="19126.560000000001"/>
    <x v="9"/>
    <x v="9"/>
  </r>
  <r>
    <n v="27383"/>
    <x v="8"/>
    <x v="4"/>
    <n v="546.64"/>
    <n v="10"/>
    <n v="5466.4"/>
    <x v="10"/>
    <x v="10"/>
  </r>
  <r>
    <n v="58022"/>
    <x v="9"/>
    <x v="10"/>
    <n v="233.83"/>
    <n v="31"/>
    <n v="7248.73"/>
    <x v="11"/>
    <x v="11"/>
  </r>
  <r>
    <n v="34963"/>
    <x v="10"/>
    <x v="11"/>
    <n v="988.47"/>
    <n v="41"/>
    <n v="40527.269999999997"/>
    <x v="12"/>
    <x v="12"/>
  </r>
  <r>
    <n v="29750"/>
    <x v="7"/>
    <x v="12"/>
    <n v="875.47"/>
    <n v="10"/>
    <n v="8754.7000000000007"/>
    <x v="13"/>
    <x v="13"/>
  </r>
  <r>
    <n v="30701"/>
    <x v="11"/>
    <x v="3"/>
    <n v="449.74"/>
    <n v="3"/>
    <n v="1349.22"/>
    <x v="14"/>
    <x v="14"/>
  </r>
  <r>
    <n v="78592"/>
    <x v="1"/>
    <x v="13"/>
    <n v="110.41"/>
    <n v="45"/>
    <n v="4968.45"/>
    <x v="15"/>
    <x v="15"/>
  </r>
  <r>
    <n v="47712"/>
    <x v="2"/>
    <x v="14"/>
    <n v="112.52"/>
    <n v="21"/>
    <n v="2362.92"/>
    <x v="16"/>
    <x v="16"/>
  </r>
  <r>
    <n v="51655"/>
    <x v="5"/>
    <x v="15"/>
    <n v="608.37"/>
    <n v="23"/>
    <n v="13992.51"/>
    <x v="17"/>
    <x v="17"/>
  </r>
  <r>
    <n v="80196"/>
    <x v="12"/>
    <x v="9"/>
    <n v="796.94"/>
    <n v="44"/>
    <n v="35065.360000000001"/>
    <x v="18"/>
    <x v="18"/>
  </r>
  <r>
    <n v="91146"/>
    <x v="13"/>
    <x v="16"/>
    <n v="654.4"/>
    <n v="18"/>
    <n v="11779.2"/>
    <x v="19"/>
    <x v="19"/>
  </r>
  <r>
    <n v="55666"/>
    <x v="10"/>
    <x v="17"/>
    <n v="366.3"/>
    <n v="1"/>
    <n v="366.3"/>
    <x v="20"/>
    <x v="20"/>
  </r>
  <r>
    <n v="39787"/>
    <x v="10"/>
    <x v="6"/>
    <n v="222.47"/>
    <n v="8"/>
    <n v="1779.76"/>
    <x v="21"/>
    <x v="21"/>
  </r>
  <r>
    <n v="24077"/>
    <x v="1"/>
    <x v="18"/>
    <n v="617.33000000000004"/>
    <n v="50"/>
    <n v="30866.5"/>
    <x v="22"/>
    <x v="22"/>
  </r>
  <r>
    <n v="78821"/>
    <x v="8"/>
    <x v="7"/>
    <n v="101.12"/>
    <n v="47"/>
    <n v="4752.6400000000003"/>
    <x v="23"/>
    <x v="22"/>
  </r>
  <r>
    <n v="38364"/>
    <x v="14"/>
    <x v="19"/>
    <n v="682.74"/>
    <n v="32"/>
    <n v="21847.68"/>
    <x v="24"/>
    <x v="23"/>
  </r>
  <r>
    <n v="10223"/>
    <x v="12"/>
    <x v="20"/>
    <n v="93.68"/>
    <n v="11"/>
    <n v="1030.48"/>
    <x v="25"/>
    <x v="24"/>
  </r>
  <r>
    <n v="82618"/>
    <x v="5"/>
    <x v="21"/>
    <n v="534.77"/>
    <n v="39"/>
    <n v="20856.03"/>
    <x v="26"/>
    <x v="25"/>
  </r>
  <r>
    <n v="33011"/>
    <x v="1"/>
    <x v="9"/>
    <n v="796.94"/>
    <n v="35"/>
    <n v="27892.9"/>
    <x v="27"/>
    <x v="26"/>
  </r>
  <r>
    <n v="81551"/>
    <x v="5"/>
    <x v="22"/>
    <n v="468.95"/>
    <n v="14"/>
    <n v="6565.3"/>
    <x v="28"/>
    <x v="27"/>
  </r>
  <r>
    <n v="98246"/>
    <x v="3"/>
    <x v="23"/>
    <n v="533.15"/>
    <n v="19"/>
    <n v="10129.85"/>
    <x v="29"/>
    <x v="28"/>
  </r>
  <r>
    <n v="94211"/>
    <x v="4"/>
    <x v="0"/>
    <n v="855.99"/>
    <n v="9"/>
    <n v="7703.91"/>
    <x v="30"/>
    <x v="29"/>
  </r>
  <r>
    <n v="38449"/>
    <x v="5"/>
    <x v="24"/>
    <n v="323.73"/>
    <n v="15"/>
    <n v="4855.95"/>
    <x v="31"/>
    <x v="30"/>
  </r>
  <r>
    <n v="35521"/>
    <x v="15"/>
    <x v="7"/>
    <n v="101.12"/>
    <n v="34"/>
    <n v="3438.08"/>
    <x v="6"/>
    <x v="31"/>
  </r>
  <r>
    <n v="96352"/>
    <x v="16"/>
    <x v="25"/>
    <n v="972.24"/>
    <n v="19"/>
    <n v="18472.560000000001"/>
    <x v="32"/>
    <x v="32"/>
  </r>
  <r>
    <n v="76287"/>
    <x v="6"/>
    <x v="26"/>
    <n v="730.09"/>
    <n v="50"/>
    <n v="36504.5"/>
    <x v="33"/>
    <x v="33"/>
  </r>
  <r>
    <n v="63146"/>
    <x v="3"/>
    <x v="27"/>
    <n v="399.32"/>
    <n v="22"/>
    <n v="8785.0400000000009"/>
    <x v="34"/>
    <x v="34"/>
  </r>
  <r>
    <n v="50128"/>
    <x v="4"/>
    <x v="28"/>
    <n v="641.34"/>
    <n v="2"/>
    <n v="1282.68"/>
    <x v="35"/>
    <x v="35"/>
  </r>
  <r>
    <n v="68801"/>
    <x v="6"/>
    <x v="29"/>
    <n v="404.9"/>
    <n v="38"/>
    <n v="15386.2"/>
    <x v="36"/>
    <x v="36"/>
  </r>
  <r>
    <n v="25394"/>
    <x v="8"/>
    <x v="30"/>
    <n v="988.73"/>
    <n v="31"/>
    <n v="30650.63"/>
    <x v="37"/>
    <x v="37"/>
  </r>
  <r>
    <n v="13698"/>
    <x v="17"/>
    <x v="11"/>
    <n v="988.47"/>
    <n v="47"/>
    <n v="46458.09"/>
    <x v="38"/>
    <x v="38"/>
  </r>
  <r>
    <n v="84141"/>
    <x v="4"/>
    <x v="31"/>
    <n v="346.37"/>
    <n v="1"/>
    <n v="346.37"/>
    <x v="39"/>
    <x v="39"/>
  </r>
  <r>
    <n v="18797"/>
    <x v="3"/>
    <x v="32"/>
    <n v="184.57"/>
    <n v="37"/>
    <n v="6829.09"/>
    <x v="40"/>
    <x v="40"/>
  </r>
  <r>
    <n v="50408"/>
    <x v="2"/>
    <x v="10"/>
    <n v="233.83"/>
    <n v="23"/>
    <n v="5378.09"/>
    <x v="10"/>
    <x v="41"/>
  </r>
  <r>
    <n v="80257"/>
    <x v="13"/>
    <x v="30"/>
    <n v="988.73"/>
    <n v="16"/>
    <n v="15819.68"/>
    <x v="41"/>
    <x v="42"/>
  </r>
  <r>
    <n v="77679"/>
    <x v="1"/>
    <x v="33"/>
    <n v="705.68"/>
    <n v="3"/>
    <n v="2117.04"/>
    <x v="42"/>
    <x v="43"/>
  </r>
  <r>
    <n v="49607"/>
    <x v="9"/>
    <x v="26"/>
    <n v="730.09"/>
    <n v="25"/>
    <n v="18252.25"/>
    <x v="43"/>
    <x v="44"/>
  </r>
  <r>
    <n v="50693"/>
    <x v="4"/>
    <x v="20"/>
    <n v="93.68"/>
    <n v="16"/>
    <n v="1498.88"/>
    <x v="44"/>
    <x v="45"/>
  </r>
  <r>
    <n v="67494"/>
    <x v="0"/>
    <x v="34"/>
    <n v="474.55"/>
    <n v="31"/>
    <n v="14711.05"/>
    <x v="24"/>
    <x v="46"/>
  </r>
  <r>
    <n v="37544"/>
    <x v="4"/>
    <x v="7"/>
    <n v="101.12"/>
    <n v="4"/>
    <n v="404.48"/>
    <x v="45"/>
    <x v="47"/>
  </r>
  <r>
    <n v="35281"/>
    <x v="7"/>
    <x v="35"/>
    <n v="611.66"/>
    <n v="11"/>
    <n v="6728.26"/>
    <x v="46"/>
    <x v="48"/>
  </r>
  <r>
    <n v="88767"/>
    <x v="4"/>
    <x v="28"/>
    <n v="641.34"/>
    <n v="15"/>
    <n v="9620.1"/>
    <x v="47"/>
    <x v="49"/>
  </r>
  <r>
    <n v="26282"/>
    <x v="18"/>
    <x v="28"/>
    <n v="641.34"/>
    <n v="32"/>
    <n v="20522.88"/>
    <x v="48"/>
    <x v="50"/>
  </r>
  <r>
    <n v="11554"/>
    <x v="1"/>
    <x v="10"/>
    <n v="233.83"/>
    <n v="9"/>
    <n v="2104.4699999999998"/>
    <x v="49"/>
    <x v="51"/>
  </r>
  <r>
    <n v="38707"/>
    <x v="7"/>
    <x v="36"/>
    <n v="796.51"/>
    <n v="24"/>
    <n v="19116.240000000002"/>
    <x v="50"/>
    <x v="52"/>
  </r>
  <r>
    <n v="97930"/>
    <x v="13"/>
    <x v="37"/>
    <n v="753.12"/>
    <n v="39"/>
    <n v="29371.68"/>
    <x v="51"/>
    <x v="53"/>
  </r>
  <r>
    <n v="71505"/>
    <x v="5"/>
    <x v="38"/>
    <n v="45.72"/>
    <n v="33"/>
    <n v="1508.76"/>
    <x v="31"/>
    <x v="54"/>
  </r>
  <r>
    <n v="10256"/>
    <x v="19"/>
    <x v="26"/>
    <n v="730.09"/>
    <n v="50"/>
    <n v="36504.5"/>
    <x v="52"/>
    <x v="55"/>
  </r>
  <r>
    <n v="31798"/>
    <x v="1"/>
    <x v="23"/>
    <n v="533.15"/>
    <n v="1"/>
    <n v="533.15"/>
    <x v="53"/>
    <x v="56"/>
  </r>
  <r>
    <n v="99422"/>
    <x v="5"/>
    <x v="39"/>
    <n v="402.36"/>
    <n v="17"/>
    <n v="6840.12"/>
    <x v="54"/>
    <x v="57"/>
  </r>
  <r>
    <n v="43867"/>
    <x v="13"/>
    <x v="5"/>
    <n v="622.16"/>
    <n v="6"/>
    <n v="3732.96"/>
    <x v="55"/>
    <x v="58"/>
  </r>
  <r>
    <n v="16737"/>
    <x v="6"/>
    <x v="19"/>
    <n v="682.74"/>
    <n v="20"/>
    <n v="13654.8"/>
    <x v="56"/>
    <x v="59"/>
  </r>
  <r>
    <n v="76914"/>
    <x v="2"/>
    <x v="14"/>
    <n v="112.52"/>
    <n v="10"/>
    <n v="1125.2"/>
    <x v="57"/>
    <x v="60"/>
  </r>
  <r>
    <n v="37599"/>
    <x v="4"/>
    <x v="24"/>
    <n v="323.73"/>
    <n v="36"/>
    <n v="11654.28"/>
    <x v="58"/>
    <x v="61"/>
  </r>
  <r>
    <n v="37765"/>
    <x v="7"/>
    <x v="28"/>
    <n v="641.34"/>
    <n v="4"/>
    <n v="2565.36"/>
    <x v="59"/>
    <x v="62"/>
  </r>
  <r>
    <n v="13346"/>
    <x v="7"/>
    <x v="4"/>
    <n v="546.64"/>
    <n v="43"/>
    <n v="23505.52"/>
    <x v="60"/>
    <x v="6"/>
  </r>
  <r>
    <n v="44639"/>
    <x v="4"/>
    <x v="31"/>
    <n v="346.37"/>
    <n v="38"/>
    <n v="13162.06"/>
    <x v="61"/>
    <x v="63"/>
  </r>
  <r>
    <n v="90942"/>
    <x v="18"/>
    <x v="25"/>
    <n v="972.24"/>
    <n v="17"/>
    <n v="16528.080000000002"/>
    <x v="62"/>
    <x v="64"/>
  </r>
  <r>
    <n v="61167"/>
    <x v="11"/>
    <x v="25"/>
    <n v="972.24"/>
    <n v="28"/>
    <n v="27222.720000000001"/>
    <x v="63"/>
    <x v="65"/>
  </r>
  <r>
    <n v="24459"/>
    <x v="19"/>
    <x v="3"/>
    <n v="449.74"/>
    <n v="38"/>
    <n v="17090.12"/>
    <x v="64"/>
    <x v="66"/>
  </r>
  <r>
    <n v="71475"/>
    <x v="9"/>
    <x v="22"/>
    <n v="468.95"/>
    <n v="16"/>
    <n v="7503.2"/>
    <x v="65"/>
    <x v="67"/>
  </r>
  <r>
    <n v="45858"/>
    <x v="5"/>
    <x v="14"/>
    <n v="112.52"/>
    <n v="36"/>
    <n v="4050.72"/>
    <x v="66"/>
    <x v="32"/>
  </r>
  <r>
    <n v="18132"/>
    <x v="9"/>
    <x v="10"/>
    <n v="233.83"/>
    <n v="19"/>
    <n v="4442.7700000000004"/>
    <x v="67"/>
    <x v="68"/>
  </r>
  <r>
    <n v="88176"/>
    <x v="15"/>
    <x v="40"/>
    <n v="795.19"/>
    <n v="16"/>
    <n v="12723.04"/>
    <x v="68"/>
    <x v="69"/>
  </r>
  <r>
    <n v="61558"/>
    <x v="19"/>
    <x v="30"/>
    <n v="988.73"/>
    <n v="40"/>
    <n v="39549.199999999997"/>
    <x v="69"/>
    <x v="70"/>
  </r>
  <r>
    <n v="67179"/>
    <x v="12"/>
    <x v="16"/>
    <n v="654.4"/>
    <n v="50"/>
    <n v="32720"/>
    <x v="70"/>
    <x v="43"/>
  </r>
  <r>
    <n v="13723"/>
    <x v="9"/>
    <x v="1"/>
    <n v="683.98"/>
    <n v="25"/>
    <n v="17099.5"/>
    <x v="64"/>
    <x v="71"/>
  </r>
  <r>
    <n v="19937"/>
    <x v="16"/>
    <x v="18"/>
    <n v="617.33000000000004"/>
    <n v="44"/>
    <n v="27162.52"/>
    <x v="71"/>
    <x v="72"/>
  </r>
  <r>
    <n v="43021"/>
    <x v="6"/>
    <x v="37"/>
    <n v="753.12"/>
    <n v="37"/>
    <n v="27865.439999999999"/>
    <x v="72"/>
    <x v="73"/>
  </r>
  <r>
    <n v="41471"/>
    <x v="7"/>
    <x v="41"/>
    <n v="158.66999999999999"/>
    <n v="43"/>
    <n v="6822.81"/>
    <x v="73"/>
    <x v="74"/>
  </r>
  <r>
    <n v="32665"/>
    <x v="2"/>
    <x v="41"/>
    <n v="158.66999999999999"/>
    <n v="8"/>
    <n v="1269.3599999999999"/>
    <x v="74"/>
    <x v="75"/>
  </r>
  <r>
    <n v="74747"/>
    <x v="10"/>
    <x v="26"/>
    <n v="730.09"/>
    <n v="30"/>
    <n v="21902.7"/>
    <x v="75"/>
    <x v="76"/>
  </r>
  <r>
    <n v="23707"/>
    <x v="16"/>
    <x v="13"/>
    <n v="110.41"/>
    <n v="17"/>
    <n v="1876.97"/>
    <x v="76"/>
    <x v="77"/>
  </r>
  <r>
    <n v="63963"/>
    <x v="7"/>
    <x v="36"/>
    <n v="796.51"/>
    <n v="15"/>
    <n v="11947.65"/>
    <x v="77"/>
    <x v="42"/>
  </r>
  <r>
    <n v="22078"/>
    <x v="12"/>
    <x v="7"/>
    <n v="101.12"/>
    <n v="7"/>
    <n v="707.84"/>
    <x v="78"/>
    <x v="78"/>
  </r>
  <r>
    <n v="19200"/>
    <x v="13"/>
    <x v="12"/>
    <n v="875.47"/>
    <n v="3"/>
    <n v="2626.41"/>
    <x v="22"/>
    <x v="79"/>
  </r>
  <r>
    <n v="48448"/>
    <x v="13"/>
    <x v="42"/>
    <n v="430.1"/>
    <n v="10"/>
    <n v="4301"/>
    <x v="79"/>
    <x v="80"/>
  </r>
  <r>
    <n v="47525"/>
    <x v="13"/>
    <x v="9"/>
    <n v="796.94"/>
    <n v="17"/>
    <n v="13547.98"/>
    <x v="66"/>
    <x v="81"/>
  </r>
  <r>
    <n v="55618"/>
    <x v="2"/>
    <x v="37"/>
    <n v="753.12"/>
    <n v="19"/>
    <n v="14309.28"/>
    <x v="80"/>
    <x v="82"/>
  </r>
  <r>
    <n v="90685"/>
    <x v="12"/>
    <x v="22"/>
    <n v="468.95"/>
    <n v="32"/>
    <n v="15006.4"/>
    <x v="81"/>
    <x v="83"/>
  </r>
  <r>
    <n v="46153"/>
    <x v="17"/>
    <x v="29"/>
    <n v="404.9"/>
    <n v="45"/>
    <n v="18220.5"/>
    <x v="82"/>
    <x v="84"/>
  </r>
  <r>
    <n v="63352"/>
    <x v="17"/>
    <x v="26"/>
    <n v="730.09"/>
    <n v="44"/>
    <n v="32123.96"/>
    <x v="83"/>
    <x v="85"/>
  </r>
  <r>
    <n v="58526"/>
    <x v="5"/>
    <x v="17"/>
    <n v="366.3"/>
    <n v="40"/>
    <n v="14652"/>
    <x v="84"/>
    <x v="86"/>
  </r>
  <r>
    <n v="46007"/>
    <x v="5"/>
    <x v="1"/>
    <n v="683.98"/>
    <n v="19"/>
    <n v="12995.62"/>
    <x v="85"/>
    <x v="87"/>
  </r>
  <r>
    <n v="79070"/>
    <x v="0"/>
    <x v="41"/>
    <n v="158.66999999999999"/>
    <n v="9"/>
    <n v="1428.03"/>
    <x v="86"/>
    <x v="88"/>
  </r>
  <r>
    <n v="60220"/>
    <x v="18"/>
    <x v="17"/>
    <n v="366.3"/>
    <n v="6"/>
    <n v="2197.8000000000002"/>
    <x v="87"/>
    <x v="17"/>
  </r>
  <r>
    <n v="77567"/>
    <x v="3"/>
    <x v="43"/>
    <n v="870.6"/>
    <n v="26"/>
    <n v="22635.599999999999"/>
    <x v="88"/>
    <x v="89"/>
  </r>
  <r>
    <n v="43543"/>
    <x v="15"/>
    <x v="34"/>
    <n v="474.55"/>
    <n v="49"/>
    <n v="23252.95"/>
    <x v="89"/>
    <x v="53"/>
  </r>
  <r>
    <n v="67179"/>
    <x v="4"/>
    <x v="33"/>
    <n v="705.68"/>
    <n v="5"/>
    <n v="3528.4"/>
    <x v="90"/>
    <x v="90"/>
  </r>
  <r>
    <n v="78842"/>
    <x v="8"/>
    <x v="44"/>
    <n v="913.18"/>
    <n v="27"/>
    <n v="24655.86"/>
    <x v="91"/>
    <x v="91"/>
  </r>
  <r>
    <n v="38213"/>
    <x v="9"/>
    <x v="32"/>
    <n v="184.57"/>
    <n v="19"/>
    <n v="3506.83"/>
    <x v="92"/>
    <x v="24"/>
  </r>
  <r>
    <n v="14696"/>
    <x v="5"/>
    <x v="5"/>
    <n v="622.16"/>
    <n v="28"/>
    <n v="17420.48"/>
    <x v="93"/>
    <x v="92"/>
  </r>
  <r>
    <n v="97834"/>
    <x v="1"/>
    <x v="32"/>
    <n v="184.57"/>
    <n v="10"/>
    <n v="1845.7"/>
    <x v="94"/>
    <x v="93"/>
  </r>
  <r>
    <n v="45502"/>
    <x v="13"/>
    <x v="10"/>
    <n v="233.83"/>
    <n v="6"/>
    <n v="1402.98"/>
    <x v="95"/>
    <x v="7"/>
  </r>
  <r>
    <n v="39561"/>
    <x v="2"/>
    <x v="0"/>
    <n v="855.99"/>
    <n v="12"/>
    <n v="10271.879999999999"/>
    <x v="96"/>
    <x v="94"/>
  </r>
  <r>
    <n v="92514"/>
    <x v="15"/>
    <x v="34"/>
    <n v="474.55"/>
    <n v="5"/>
    <n v="2372.75"/>
    <x v="97"/>
    <x v="95"/>
  </r>
  <r>
    <n v="65497"/>
    <x v="7"/>
    <x v="8"/>
    <n v="596.97"/>
    <n v="15"/>
    <n v="8954.5499999999993"/>
    <x v="33"/>
    <x v="96"/>
  </r>
  <r>
    <n v="42358"/>
    <x v="1"/>
    <x v="12"/>
    <n v="875.47"/>
    <n v="41"/>
    <n v="35894.269999999997"/>
    <x v="98"/>
    <x v="97"/>
  </r>
  <r>
    <n v="35653"/>
    <x v="8"/>
    <x v="33"/>
    <n v="705.68"/>
    <n v="9"/>
    <n v="6351.12"/>
    <x v="99"/>
    <x v="3"/>
  </r>
  <r>
    <n v="66632"/>
    <x v="11"/>
    <x v="8"/>
    <n v="596.97"/>
    <n v="25"/>
    <n v="14924.25"/>
    <x v="100"/>
    <x v="98"/>
  </r>
  <r>
    <n v="56922"/>
    <x v="13"/>
    <x v="23"/>
    <n v="533.15"/>
    <n v="49"/>
    <n v="26124.35"/>
    <x v="101"/>
    <x v="99"/>
  </r>
  <r>
    <n v="42547"/>
    <x v="5"/>
    <x v="2"/>
    <n v="68.05"/>
    <n v="2"/>
    <n v="136.1"/>
    <x v="41"/>
    <x v="100"/>
  </r>
  <r>
    <n v="45883"/>
    <x v="10"/>
    <x v="7"/>
    <n v="101.12"/>
    <n v="27"/>
    <n v="2730.24"/>
    <x v="102"/>
    <x v="101"/>
  </r>
  <r>
    <n v="83528"/>
    <x v="5"/>
    <x v="22"/>
    <n v="468.95"/>
    <n v="4"/>
    <n v="1875.8"/>
    <x v="103"/>
    <x v="102"/>
  </r>
  <r>
    <n v="82836"/>
    <x v="16"/>
    <x v="13"/>
    <n v="110.41"/>
    <n v="1"/>
    <n v="110.41"/>
    <x v="104"/>
    <x v="103"/>
  </r>
  <r>
    <n v="73583"/>
    <x v="11"/>
    <x v="2"/>
    <n v="68.05"/>
    <n v="6"/>
    <n v="408.3"/>
    <x v="105"/>
    <x v="104"/>
  </r>
  <r>
    <n v="83314"/>
    <x v="14"/>
    <x v="14"/>
    <n v="112.52"/>
    <n v="18"/>
    <n v="2025.36"/>
    <x v="106"/>
    <x v="105"/>
  </r>
  <r>
    <n v="43955"/>
    <x v="15"/>
    <x v="6"/>
    <n v="222.47"/>
    <n v="1"/>
    <n v="222.47"/>
    <x v="107"/>
    <x v="106"/>
  </r>
  <r>
    <n v="96803"/>
    <x v="11"/>
    <x v="26"/>
    <n v="730.09"/>
    <n v="40"/>
    <n v="29203.599999999999"/>
    <x v="108"/>
    <x v="107"/>
  </r>
  <r>
    <n v="70090"/>
    <x v="7"/>
    <x v="18"/>
    <n v="617.33000000000004"/>
    <n v="21"/>
    <n v="12963.93"/>
    <x v="109"/>
    <x v="108"/>
  </r>
  <r>
    <n v="95005"/>
    <x v="11"/>
    <x v="24"/>
    <n v="323.73"/>
    <n v="10"/>
    <n v="3237.3"/>
    <x v="110"/>
    <x v="109"/>
  </r>
  <r>
    <n v="72407"/>
    <x v="16"/>
    <x v="22"/>
    <n v="468.95"/>
    <n v="1"/>
    <n v="468.95"/>
    <x v="111"/>
    <x v="110"/>
  </r>
  <r>
    <n v="35913"/>
    <x v="3"/>
    <x v="11"/>
    <n v="988.47"/>
    <n v="3"/>
    <n v="2965.41"/>
    <x v="112"/>
    <x v="111"/>
  </r>
  <r>
    <n v="36963"/>
    <x v="19"/>
    <x v="45"/>
    <n v="890.84"/>
    <n v="46"/>
    <n v="40978.639999999999"/>
    <x v="113"/>
    <x v="59"/>
  </r>
  <r>
    <n v="53212"/>
    <x v="17"/>
    <x v="18"/>
    <n v="617.33000000000004"/>
    <n v="17"/>
    <n v="10494.61"/>
    <x v="114"/>
    <x v="112"/>
  </r>
  <r>
    <n v="93151"/>
    <x v="2"/>
    <x v="4"/>
    <n v="546.64"/>
    <n v="2"/>
    <n v="1093.28"/>
    <x v="115"/>
    <x v="74"/>
  </r>
  <r>
    <n v="95753"/>
    <x v="15"/>
    <x v="27"/>
    <n v="399.32"/>
    <n v="49"/>
    <n v="19566.68"/>
    <x v="116"/>
    <x v="113"/>
  </r>
  <r>
    <n v="91338"/>
    <x v="4"/>
    <x v="35"/>
    <n v="611.66"/>
    <n v="15"/>
    <n v="9174.9"/>
    <x v="16"/>
    <x v="51"/>
  </r>
  <r>
    <n v="72244"/>
    <x v="10"/>
    <x v="40"/>
    <n v="795.19"/>
    <n v="31"/>
    <n v="24650.89"/>
    <x v="117"/>
    <x v="114"/>
  </r>
  <r>
    <n v="70672"/>
    <x v="8"/>
    <x v="46"/>
    <n v="346.4"/>
    <n v="23"/>
    <n v="7967.2"/>
    <x v="118"/>
    <x v="115"/>
  </r>
  <r>
    <n v="73012"/>
    <x v="10"/>
    <x v="6"/>
    <n v="222.47"/>
    <n v="33"/>
    <n v="7341.51"/>
    <x v="108"/>
    <x v="116"/>
  </r>
  <r>
    <n v="35571"/>
    <x v="3"/>
    <x v="39"/>
    <n v="402.36"/>
    <n v="6"/>
    <n v="2414.16"/>
    <x v="119"/>
    <x v="117"/>
  </r>
  <r>
    <n v="58827"/>
    <x v="1"/>
    <x v="21"/>
    <n v="534.77"/>
    <n v="30"/>
    <n v="16043.1"/>
    <x v="120"/>
    <x v="111"/>
  </r>
  <r>
    <n v="53486"/>
    <x v="1"/>
    <x v="33"/>
    <n v="705.68"/>
    <n v="32"/>
    <n v="22581.759999999998"/>
    <x v="14"/>
    <x v="118"/>
  </r>
  <r>
    <n v="57394"/>
    <x v="18"/>
    <x v="47"/>
    <n v="325"/>
    <n v="15"/>
    <n v="4875"/>
    <x v="121"/>
    <x v="119"/>
  </r>
  <r>
    <n v="51067"/>
    <x v="2"/>
    <x v="48"/>
    <n v="95.12"/>
    <n v="4"/>
    <n v="380.48"/>
    <x v="122"/>
    <x v="120"/>
  </r>
  <r>
    <n v="91982"/>
    <x v="14"/>
    <x v="38"/>
    <n v="45.72"/>
    <n v="36"/>
    <n v="1645.92"/>
    <x v="123"/>
    <x v="121"/>
  </r>
  <r>
    <n v="32186"/>
    <x v="14"/>
    <x v="30"/>
    <n v="988.73"/>
    <n v="21"/>
    <n v="20763.330000000002"/>
    <x v="124"/>
    <x v="122"/>
  </r>
  <r>
    <n v="53849"/>
    <x v="4"/>
    <x v="20"/>
    <n v="93.68"/>
    <n v="34"/>
    <n v="3185.12"/>
    <x v="125"/>
    <x v="123"/>
  </r>
  <r>
    <n v="91311"/>
    <x v="17"/>
    <x v="28"/>
    <n v="641.34"/>
    <n v="21"/>
    <n v="13468.14"/>
    <x v="126"/>
    <x v="124"/>
  </r>
  <r>
    <n v="61310"/>
    <x v="0"/>
    <x v="19"/>
    <n v="682.74"/>
    <n v="4"/>
    <n v="2730.96"/>
    <x v="127"/>
    <x v="125"/>
  </r>
  <r>
    <n v="89611"/>
    <x v="13"/>
    <x v="7"/>
    <n v="101.12"/>
    <n v="35"/>
    <n v="3539.2"/>
    <x v="128"/>
    <x v="126"/>
  </r>
  <r>
    <n v="98396"/>
    <x v="15"/>
    <x v="4"/>
    <n v="546.64"/>
    <n v="21"/>
    <n v="11479.44"/>
    <x v="129"/>
    <x v="127"/>
  </r>
  <r>
    <n v="10812"/>
    <x v="15"/>
    <x v="44"/>
    <n v="913.18"/>
    <n v="39"/>
    <n v="35614.019999999997"/>
    <x v="130"/>
    <x v="128"/>
  </r>
  <r>
    <n v="17038"/>
    <x v="3"/>
    <x v="29"/>
    <n v="404.9"/>
    <n v="49"/>
    <n v="19840.099999999999"/>
    <x v="108"/>
    <x v="129"/>
  </r>
  <r>
    <n v="54632"/>
    <x v="14"/>
    <x v="24"/>
    <n v="323.73"/>
    <n v="43"/>
    <n v="13920.39"/>
    <x v="131"/>
    <x v="130"/>
  </r>
  <r>
    <n v="84229"/>
    <x v="5"/>
    <x v="41"/>
    <n v="158.66999999999999"/>
    <n v="35"/>
    <n v="5553.45"/>
    <x v="132"/>
    <x v="81"/>
  </r>
  <r>
    <n v="57641"/>
    <x v="17"/>
    <x v="12"/>
    <n v="875.47"/>
    <n v="7"/>
    <n v="6128.29"/>
    <x v="133"/>
    <x v="131"/>
  </r>
  <r>
    <n v="35473"/>
    <x v="10"/>
    <x v="0"/>
    <n v="855.99"/>
    <n v="44"/>
    <n v="37663.56"/>
    <x v="134"/>
    <x v="132"/>
  </r>
  <r>
    <n v="71042"/>
    <x v="12"/>
    <x v="22"/>
    <n v="468.95"/>
    <n v="1"/>
    <n v="468.95"/>
    <x v="135"/>
    <x v="133"/>
  </r>
  <r>
    <n v="37073"/>
    <x v="12"/>
    <x v="13"/>
    <n v="110.41"/>
    <n v="38"/>
    <n v="4195.58"/>
    <x v="136"/>
    <x v="134"/>
  </r>
  <r>
    <n v="97471"/>
    <x v="8"/>
    <x v="22"/>
    <n v="468.95"/>
    <n v="39"/>
    <n v="18289.05"/>
    <x v="137"/>
    <x v="135"/>
  </r>
  <r>
    <n v="31687"/>
    <x v="1"/>
    <x v="14"/>
    <n v="112.52"/>
    <n v="33"/>
    <n v="3713.16"/>
    <x v="138"/>
    <x v="78"/>
  </r>
  <r>
    <n v="59850"/>
    <x v="9"/>
    <x v="44"/>
    <n v="913.18"/>
    <n v="17"/>
    <n v="15524.06"/>
    <x v="139"/>
    <x v="136"/>
  </r>
  <r>
    <n v="40430"/>
    <x v="1"/>
    <x v="31"/>
    <n v="346.37"/>
    <n v="8"/>
    <n v="2770.96"/>
    <x v="140"/>
    <x v="7"/>
  </r>
  <r>
    <n v="91701"/>
    <x v="16"/>
    <x v="47"/>
    <n v="325"/>
    <n v="48"/>
    <n v="15600"/>
    <x v="141"/>
    <x v="137"/>
  </r>
  <r>
    <n v="67414"/>
    <x v="18"/>
    <x v="29"/>
    <n v="404.9"/>
    <n v="38"/>
    <n v="15386.2"/>
    <x v="63"/>
    <x v="138"/>
  </r>
  <r>
    <n v="71928"/>
    <x v="3"/>
    <x v="20"/>
    <n v="93.68"/>
    <n v="29"/>
    <n v="2716.72"/>
    <x v="87"/>
    <x v="139"/>
  </r>
  <r>
    <n v="92965"/>
    <x v="6"/>
    <x v="30"/>
    <n v="988.73"/>
    <n v="23"/>
    <n v="22740.79"/>
    <x v="142"/>
    <x v="140"/>
  </r>
  <r>
    <n v="75037"/>
    <x v="10"/>
    <x v="48"/>
    <n v="95.12"/>
    <n v="25"/>
    <n v="2378"/>
    <x v="15"/>
    <x v="141"/>
  </r>
  <r>
    <n v="25512"/>
    <x v="0"/>
    <x v="0"/>
    <n v="855.99"/>
    <n v="12"/>
    <n v="10271.879999999999"/>
    <x v="111"/>
    <x v="142"/>
  </r>
  <r>
    <n v="88898"/>
    <x v="5"/>
    <x v="0"/>
    <n v="855.99"/>
    <n v="34"/>
    <n v="29103.66"/>
    <x v="143"/>
    <x v="143"/>
  </r>
  <r>
    <n v="23933"/>
    <x v="19"/>
    <x v="7"/>
    <n v="101.12"/>
    <n v="38"/>
    <n v="3842.56"/>
    <x v="72"/>
    <x v="144"/>
  </r>
  <r>
    <n v="36511"/>
    <x v="16"/>
    <x v="26"/>
    <n v="730.09"/>
    <n v="45"/>
    <n v="32854.050000000003"/>
    <x v="144"/>
    <x v="52"/>
  </r>
  <r>
    <n v="92862"/>
    <x v="9"/>
    <x v="43"/>
    <n v="870.6"/>
    <n v="29"/>
    <n v="25247.4"/>
    <x v="145"/>
    <x v="145"/>
  </r>
  <r>
    <n v="16532"/>
    <x v="11"/>
    <x v="46"/>
    <n v="346.4"/>
    <n v="14"/>
    <n v="4849.6000000000004"/>
    <x v="146"/>
    <x v="109"/>
  </r>
  <r>
    <n v="49391"/>
    <x v="18"/>
    <x v="24"/>
    <n v="323.73"/>
    <n v="46"/>
    <n v="14891.58"/>
    <x v="147"/>
    <x v="146"/>
  </r>
  <r>
    <n v="95235"/>
    <x v="14"/>
    <x v="23"/>
    <n v="533.15"/>
    <n v="49"/>
    <n v="26124.35"/>
    <x v="148"/>
    <x v="54"/>
  </r>
  <r>
    <n v="57067"/>
    <x v="15"/>
    <x v="4"/>
    <n v="546.64"/>
    <n v="41"/>
    <n v="22412.240000000002"/>
    <x v="149"/>
    <x v="147"/>
  </r>
  <r>
    <n v="53526"/>
    <x v="15"/>
    <x v="25"/>
    <n v="972.24"/>
    <n v="40"/>
    <n v="38889.599999999999"/>
    <x v="150"/>
    <x v="7"/>
  </r>
  <r>
    <n v="24299"/>
    <x v="7"/>
    <x v="19"/>
    <n v="682.74"/>
    <n v="1"/>
    <n v="682.74"/>
    <x v="41"/>
    <x v="133"/>
  </r>
  <r>
    <n v="28287"/>
    <x v="5"/>
    <x v="40"/>
    <n v="795.19"/>
    <n v="24"/>
    <n v="19084.560000000001"/>
    <x v="151"/>
    <x v="148"/>
  </r>
  <r>
    <n v="57560"/>
    <x v="8"/>
    <x v="37"/>
    <n v="753.12"/>
    <n v="15"/>
    <n v="11296.8"/>
    <x v="152"/>
    <x v="149"/>
  </r>
  <r>
    <n v="37681"/>
    <x v="3"/>
    <x v="27"/>
    <n v="399.32"/>
    <n v="8"/>
    <n v="3194.56"/>
    <x v="153"/>
    <x v="150"/>
  </r>
  <r>
    <n v="32244"/>
    <x v="2"/>
    <x v="2"/>
    <n v="68.05"/>
    <n v="6"/>
    <n v="408.3"/>
    <x v="154"/>
    <x v="151"/>
  </r>
  <r>
    <n v="23259"/>
    <x v="19"/>
    <x v="44"/>
    <n v="913.18"/>
    <n v="23"/>
    <n v="21003.14"/>
    <x v="155"/>
    <x v="152"/>
  </r>
  <r>
    <n v="72318"/>
    <x v="16"/>
    <x v="24"/>
    <n v="323.73"/>
    <n v="45"/>
    <n v="14567.85"/>
    <x v="123"/>
    <x v="71"/>
  </r>
  <r>
    <n v="67901"/>
    <x v="2"/>
    <x v="10"/>
    <n v="233.83"/>
    <n v="20"/>
    <n v="4676.6000000000004"/>
    <x v="156"/>
    <x v="153"/>
  </r>
  <r>
    <n v="33641"/>
    <x v="13"/>
    <x v="7"/>
    <n v="101.12"/>
    <n v="6"/>
    <n v="606.72"/>
    <x v="157"/>
    <x v="154"/>
  </r>
  <r>
    <n v="87656"/>
    <x v="10"/>
    <x v="7"/>
    <n v="101.12"/>
    <n v="11"/>
    <n v="1112.32"/>
    <x v="158"/>
    <x v="137"/>
  </r>
  <r>
    <n v="43748"/>
    <x v="6"/>
    <x v="6"/>
    <n v="222.47"/>
    <n v="15"/>
    <n v="3337.05"/>
    <x v="159"/>
    <x v="155"/>
  </r>
  <r>
    <n v="30885"/>
    <x v="2"/>
    <x v="12"/>
    <n v="875.47"/>
    <n v="20"/>
    <n v="17509.400000000001"/>
    <x v="160"/>
    <x v="156"/>
  </r>
  <r>
    <n v="74935"/>
    <x v="10"/>
    <x v="14"/>
    <n v="112.52"/>
    <n v="9"/>
    <n v="1012.68"/>
    <x v="161"/>
    <x v="122"/>
  </r>
  <r>
    <n v="72669"/>
    <x v="2"/>
    <x v="2"/>
    <n v="68.05"/>
    <n v="5"/>
    <n v="340.25"/>
    <x v="162"/>
    <x v="157"/>
  </r>
  <r>
    <n v="71747"/>
    <x v="18"/>
    <x v="18"/>
    <n v="617.33000000000004"/>
    <n v="42"/>
    <n v="25927.86"/>
    <x v="163"/>
    <x v="158"/>
  </r>
  <r>
    <n v="42048"/>
    <x v="17"/>
    <x v="49"/>
    <n v="761.92"/>
    <n v="26"/>
    <n v="19809.919999999998"/>
    <x v="164"/>
    <x v="159"/>
  </r>
  <r>
    <n v="21885"/>
    <x v="2"/>
    <x v="6"/>
    <n v="222.47"/>
    <n v="11"/>
    <n v="2447.17"/>
    <x v="165"/>
    <x v="160"/>
  </r>
  <r>
    <n v="12575"/>
    <x v="10"/>
    <x v="17"/>
    <n v="366.3"/>
    <n v="4"/>
    <n v="1465.2"/>
    <x v="166"/>
    <x v="161"/>
  </r>
  <r>
    <n v="17628"/>
    <x v="16"/>
    <x v="48"/>
    <n v="95.12"/>
    <n v="9"/>
    <n v="856.08"/>
    <x v="167"/>
    <x v="162"/>
  </r>
  <r>
    <n v="86919"/>
    <x v="13"/>
    <x v="16"/>
    <n v="654.4"/>
    <n v="6"/>
    <n v="3926.4"/>
    <x v="168"/>
    <x v="163"/>
  </r>
  <r>
    <n v="40648"/>
    <x v="6"/>
    <x v="41"/>
    <n v="158.66999999999999"/>
    <n v="30"/>
    <n v="4760.1000000000004"/>
    <x v="169"/>
    <x v="164"/>
  </r>
  <r>
    <n v="17587"/>
    <x v="17"/>
    <x v="15"/>
    <n v="608.37"/>
    <n v="13"/>
    <n v="7908.81"/>
    <x v="170"/>
    <x v="112"/>
  </r>
  <r>
    <n v="34685"/>
    <x v="4"/>
    <x v="39"/>
    <n v="402.36"/>
    <n v="32"/>
    <n v="12875.52"/>
    <x v="5"/>
    <x v="165"/>
  </r>
  <r>
    <n v="78884"/>
    <x v="13"/>
    <x v="45"/>
    <n v="890.84"/>
    <n v="33"/>
    <n v="29397.72"/>
    <x v="72"/>
    <x v="166"/>
  </r>
  <r>
    <n v="67827"/>
    <x v="12"/>
    <x v="4"/>
    <n v="546.64"/>
    <n v="30"/>
    <n v="16399.2"/>
    <x v="171"/>
    <x v="31"/>
  </r>
  <r>
    <n v="90437"/>
    <x v="1"/>
    <x v="30"/>
    <n v="988.73"/>
    <n v="26"/>
    <n v="25706.98"/>
    <x v="172"/>
    <x v="167"/>
  </r>
  <r>
    <n v="25426"/>
    <x v="14"/>
    <x v="10"/>
    <n v="233.83"/>
    <n v="35"/>
    <n v="8184.05"/>
    <x v="173"/>
    <x v="63"/>
  </r>
  <r>
    <n v="74088"/>
    <x v="8"/>
    <x v="18"/>
    <n v="617.33000000000004"/>
    <n v="47"/>
    <n v="29014.51"/>
    <x v="174"/>
    <x v="168"/>
  </r>
  <r>
    <n v="70680"/>
    <x v="4"/>
    <x v="43"/>
    <n v="870.6"/>
    <n v="44"/>
    <n v="38306.400000000001"/>
    <x v="175"/>
    <x v="169"/>
  </r>
  <r>
    <n v="26058"/>
    <x v="4"/>
    <x v="36"/>
    <n v="796.51"/>
    <n v="38"/>
    <n v="30267.38"/>
    <x v="176"/>
    <x v="76"/>
  </r>
  <r>
    <n v="37755"/>
    <x v="15"/>
    <x v="13"/>
    <n v="110.41"/>
    <n v="48"/>
    <n v="5299.68"/>
    <x v="32"/>
    <x v="19"/>
  </r>
  <r>
    <n v="47420"/>
    <x v="13"/>
    <x v="16"/>
    <n v="654.4"/>
    <n v="49"/>
    <n v="32065.599999999999"/>
    <x v="9"/>
    <x v="170"/>
  </r>
  <r>
    <n v="10721"/>
    <x v="0"/>
    <x v="33"/>
    <n v="705.68"/>
    <n v="13"/>
    <n v="9173.84"/>
    <x v="177"/>
    <x v="171"/>
  </r>
  <r>
    <n v="30177"/>
    <x v="19"/>
    <x v="39"/>
    <n v="402.36"/>
    <n v="15"/>
    <n v="6035.4"/>
    <x v="178"/>
    <x v="134"/>
  </r>
  <r>
    <n v="90314"/>
    <x v="7"/>
    <x v="18"/>
    <n v="617.33000000000004"/>
    <n v="23"/>
    <n v="14198.59"/>
    <x v="179"/>
    <x v="105"/>
  </r>
  <r>
    <n v="99113"/>
    <x v="10"/>
    <x v="42"/>
    <n v="430.1"/>
    <n v="37"/>
    <n v="15913.7"/>
    <x v="180"/>
    <x v="172"/>
  </r>
  <r>
    <n v="69340"/>
    <x v="17"/>
    <x v="44"/>
    <n v="913.18"/>
    <n v="4"/>
    <n v="3652.72"/>
    <x v="181"/>
    <x v="173"/>
  </r>
  <r>
    <n v="62410"/>
    <x v="4"/>
    <x v="29"/>
    <n v="404.9"/>
    <n v="34"/>
    <n v="13766.6"/>
    <x v="146"/>
    <x v="174"/>
  </r>
  <r>
    <n v="35666"/>
    <x v="3"/>
    <x v="48"/>
    <n v="95.12"/>
    <n v="48"/>
    <n v="4565.76"/>
    <x v="182"/>
    <x v="175"/>
  </r>
  <r>
    <n v="68976"/>
    <x v="11"/>
    <x v="45"/>
    <n v="890.84"/>
    <n v="33"/>
    <n v="29397.72"/>
    <x v="183"/>
    <x v="176"/>
  </r>
  <r>
    <n v="75236"/>
    <x v="11"/>
    <x v="18"/>
    <n v="617.33000000000004"/>
    <n v="7"/>
    <n v="4321.3100000000004"/>
    <x v="184"/>
    <x v="177"/>
  </r>
  <r>
    <n v="52110"/>
    <x v="7"/>
    <x v="22"/>
    <n v="468.95"/>
    <n v="3"/>
    <n v="1406.85"/>
    <x v="185"/>
    <x v="178"/>
  </r>
  <r>
    <n v="33083"/>
    <x v="17"/>
    <x v="40"/>
    <n v="795.19"/>
    <n v="44"/>
    <n v="34988.36"/>
    <x v="186"/>
    <x v="47"/>
  </r>
  <r>
    <n v="89713"/>
    <x v="15"/>
    <x v="30"/>
    <n v="988.73"/>
    <n v="29"/>
    <n v="28673.17"/>
    <x v="187"/>
    <x v="179"/>
  </r>
  <r>
    <n v="84405"/>
    <x v="3"/>
    <x v="0"/>
    <n v="855.99"/>
    <n v="42"/>
    <n v="35951.58"/>
    <x v="188"/>
    <x v="180"/>
  </r>
  <r>
    <n v="36499"/>
    <x v="12"/>
    <x v="41"/>
    <n v="158.66999999999999"/>
    <n v="41"/>
    <n v="6505.47"/>
    <x v="189"/>
    <x v="181"/>
  </r>
  <r>
    <n v="68552"/>
    <x v="19"/>
    <x v="8"/>
    <n v="596.97"/>
    <n v="37"/>
    <n v="22087.89"/>
    <x v="139"/>
    <x v="182"/>
  </r>
  <r>
    <n v="94922"/>
    <x v="9"/>
    <x v="8"/>
    <n v="596.97"/>
    <n v="12"/>
    <n v="7163.64"/>
    <x v="190"/>
    <x v="114"/>
  </r>
  <r>
    <n v="11629"/>
    <x v="8"/>
    <x v="49"/>
    <n v="761.92"/>
    <n v="32"/>
    <n v="24381.439999999999"/>
    <x v="191"/>
    <x v="183"/>
  </r>
  <r>
    <n v="37968"/>
    <x v="15"/>
    <x v="5"/>
    <n v="622.16"/>
    <n v="7"/>
    <n v="4355.12"/>
    <x v="192"/>
    <x v="184"/>
  </r>
  <r>
    <n v="89999"/>
    <x v="16"/>
    <x v="11"/>
    <n v="988.47"/>
    <n v="36"/>
    <n v="35584.92"/>
    <x v="193"/>
    <x v="185"/>
  </r>
  <r>
    <n v="19036"/>
    <x v="15"/>
    <x v="21"/>
    <n v="534.77"/>
    <n v="4"/>
    <n v="2139.08"/>
    <x v="194"/>
    <x v="75"/>
  </r>
  <r>
    <n v="72336"/>
    <x v="1"/>
    <x v="6"/>
    <n v="222.47"/>
    <n v="9"/>
    <n v="2002.23"/>
    <x v="195"/>
    <x v="186"/>
  </r>
  <r>
    <n v="56056"/>
    <x v="5"/>
    <x v="27"/>
    <n v="399.32"/>
    <n v="21"/>
    <n v="8385.7199999999993"/>
    <x v="196"/>
    <x v="187"/>
  </r>
  <r>
    <n v="71004"/>
    <x v="1"/>
    <x v="30"/>
    <n v="988.73"/>
    <n v="1"/>
    <n v="988.73"/>
    <x v="197"/>
    <x v="188"/>
  </r>
  <r>
    <n v="43835"/>
    <x v="2"/>
    <x v="43"/>
    <n v="870.6"/>
    <n v="14"/>
    <n v="12188.4"/>
    <x v="10"/>
    <x v="189"/>
  </r>
  <r>
    <n v="99997"/>
    <x v="8"/>
    <x v="43"/>
    <n v="870.6"/>
    <n v="18"/>
    <n v="15670.8"/>
    <x v="198"/>
    <x v="182"/>
  </r>
  <r>
    <n v="18253"/>
    <x v="9"/>
    <x v="22"/>
    <n v="468.95"/>
    <n v="43"/>
    <n v="20164.849999999999"/>
    <x v="199"/>
    <x v="157"/>
  </r>
  <r>
    <n v="11475"/>
    <x v="13"/>
    <x v="43"/>
    <n v="870.6"/>
    <n v="16"/>
    <n v="13929.6"/>
    <x v="65"/>
    <x v="127"/>
  </r>
  <r>
    <n v="27871"/>
    <x v="5"/>
    <x v="0"/>
    <n v="855.99"/>
    <n v="2"/>
    <n v="1711.98"/>
    <x v="200"/>
    <x v="84"/>
  </r>
  <r>
    <n v="95984"/>
    <x v="9"/>
    <x v="47"/>
    <n v="325"/>
    <n v="38"/>
    <n v="12350"/>
    <x v="201"/>
    <x v="190"/>
  </r>
  <r>
    <n v="44891"/>
    <x v="1"/>
    <x v="7"/>
    <n v="101.12"/>
    <n v="14"/>
    <n v="1415.68"/>
    <x v="202"/>
    <x v="191"/>
  </r>
  <r>
    <n v="96531"/>
    <x v="14"/>
    <x v="32"/>
    <n v="184.57"/>
    <n v="5"/>
    <n v="922.85"/>
    <x v="203"/>
    <x v="2"/>
  </r>
  <r>
    <n v="27212"/>
    <x v="12"/>
    <x v="35"/>
    <n v="611.66"/>
    <n v="10"/>
    <n v="6116.6"/>
    <x v="204"/>
    <x v="192"/>
  </r>
  <r>
    <n v="87708"/>
    <x v="2"/>
    <x v="17"/>
    <n v="366.3"/>
    <n v="32"/>
    <n v="11721.6"/>
    <x v="205"/>
    <x v="15"/>
  </r>
  <r>
    <n v="19165"/>
    <x v="5"/>
    <x v="12"/>
    <n v="875.47"/>
    <n v="32"/>
    <n v="28015.040000000001"/>
    <x v="185"/>
    <x v="174"/>
  </r>
  <r>
    <n v="26892"/>
    <x v="7"/>
    <x v="20"/>
    <n v="93.68"/>
    <n v="38"/>
    <n v="3559.84"/>
    <x v="206"/>
    <x v="116"/>
  </r>
  <r>
    <n v="17114"/>
    <x v="2"/>
    <x v="17"/>
    <n v="366.3"/>
    <n v="18"/>
    <n v="6593.4"/>
    <x v="207"/>
    <x v="193"/>
  </r>
  <r>
    <n v="95125"/>
    <x v="4"/>
    <x v="31"/>
    <n v="346.37"/>
    <n v="41"/>
    <n v="14201.17"/>
    <x v="176"/>
    <x v="194"/>
  </r>
  <r>
    <n v="78859"/>
    <x v="3"/>
    <x v="32"/>
    <n v="184.57"/>
    <n v="50"/>
    <n v="9228.5"/>
    <x v="208"/>
    <x v="195"/>
  </r>
  <r>
    <n v="55987"/>
    <x v="10"/>
    <x v="42"/>
    <n v="430.1"/>
    <n v="4"/>
    <n v="1720.4"/>
    <x v="209"/>
    <x v="196"/>
  </r>
  <r>
    <n v="63363"/>
    <x v="8"/>
    <x v="43"/>
    <n v="870.6"/>
    <n v="2"/>
    <n v="1741.2"/>
    <x v="210"/>
    <x v="197"/>
  </r>
  <r>
    <n v="81606"/>
    <x v="6"/>
    <x v="16"/>
    <n v="654.4"/>
    <n v="7"/>
    <n v="4580.8"/>
    <x v="204"/>
    <x v="127"/>
  </r>
  <r>
    <n v="64613"/>
    <x v="11"/>
    <x v="31"/>
    <n v="346.37"/>
    <n v="12"/>
    <n v="4156.4399999999996"/>
    <x v="211"/>
    <x v="198"/>
  </r>
  <r>
    <n v="57955"/>
    <x v="9"/>
    <x v="43"/>
    <n v="870.6"/>
    <n v="2"/>
    <n v="1741.2"/>
    <x v="26"/>
    <x v="199"/>
  </r>
  <r>
    <n v="94143"/>
    <x v="9"/>
    <x v="44"/>
    <n v="913.18"/>
    <n v="19"/>
    <n v="17350.419999999998"/>
    <x v="212"/>
    <x v="200"/>
  </r>
  <r>
    <n v="69982"/>
    <x v="16"/>
    <x v="41"/>
    <n v="158.66999999999999"/>
    <n v="43"/>
    <n v="6822.81"/>
    <x v="70"/>
    <x v="92"/>
  </r>
  <r>
    <n v="13847"/>
    <x v="1"/>
    <x v="32"/>
    <n v="184.57"/>
    <n v="6"/>
    <n v="1107.42"/>
    <x v="213"/>
    <x v="201"/>
  </r>
  <r>
    <n v="83571"/>
    <x v="16"/>
    <x v="19"/>
    <n v="682.74"/>
    <n v="2"/>
    <n v="1365.48"/>
    <x v="214"/>
    <x v="202"/>
  </r>
  <r>
    <n v="89925"/>
    <x v="15"/>
    <x v="41"/>
    <n v="158.66999999999999"/>
    <n v="5"/>
    <n v="793.35"/>
    <x v="215"/>
    <x v="203"/>
  </r>
  <r>
    <n v="35958"/>
    <x v="4"/>
    <x v="10"/>
    <n v="233.83"/>
    <n v="9"/>
    <n v="2104.4699999999998"/>
    <x v="66"/>
    <x v="204"/>
  </r>
  <r>
    <n v="10136"/>
    <x v="11"/>
    <x v="33"/>
    <n v="705.68"/>
    <n v="13"/>
    <n v="9173.84"/>
    <x v="216"/>
    <x v="41"/>
  </r>
  <r>
    <n v="31853"/>
    <x v="11"/>
    <x v="12"/>
    <n v="875.47"/>
    <n v="25"/>
    <n v="21886.75"/>
    <x v="217"/>
    <x v="205"/>
  </r>
  <r>
    <n v="75964"/>
    <x v="7"/>
    <x v="21"/>
    <n v="534.77"/>
    <n v="41"/>
    <n v="21925.57"/>
    <x v="154"/>
    <x v="206"/>
  </r>
  <r>
    <n v="61124"/>
    <x v="15"/>
    <x v="46"/>
    <n v="346.4"/>
    <n v="30"/>
    <n v="10392"/>
    <x v="218"/>
    <x v="207"/>
  </r>
  <r>
    <n v="65433"/>
    <x v="17"/>
    <x v="47"/>
    <n v="325"/>
    <n v="50"/>
    <n v="16250"/>
    <x v="219"/>
    <x v="208"/>
  </r>
  <r>
    <n v="98558"/>
    <x v="12"/>
    <x v="1"/>
    <n v="683.98"/>
    <n v="27"/>
    <n v="18467.46"/>
    <x v="220"/>
    <x v="209"/>
  </r>
  <r>
    <n v="80426"/>
    <x v="5"/>
    <x v="35"/>
    <n v="611.66"/>
    <n v="27"/>
    <n v="16514.82"/>
    <x v="221"/>
    <x v="210"/>
  </r>
  <r>
    <n v="29425"/>
    <x v="4"/>
    <x v="0"/>
    <n v="855.99"/>
    <n v="47"/>
    <n v="40231.53"/>
    <x v="222"/>
    <x v="14"/>
  </r>
  <r>
    <n v="95909"/>
    <x v="1"/>
    <x v="10"/>
    <n v="233.83"/>
    <n v="43"/>
    <n v="10054.69"/>
    <x v="223"/>
    <x v="211"/>
  </r>
  <r>
    <n v="92832"/>
    <x v="14"/>
    <x v="24"/>
    <n v="323.73"/>
    <n v="12"/>
    <n v="3884.76"/>
    <x v="224"/>
    <x v="89"/>
  </r>
  <r>
    <n v="34381"/>
    <x v="9"/>
    <x v="35"/>
    <n v="611.66"/>
    <n v="22"/>
    <n v="13456.52"/>
    <x v="225"/>
    <x v="188"/>
  </r>
  <r>
    <n v="13161"/>
    <x v="8"/>
    <x v="24"/>
    <n v="323.73"/>
    <n v="8"/>
    <n v="2589.84"/>
    <x v="226"/>
    <x v="212"/>
  </r>
  <r>
    <n v="53224"/>
    <x v="10"/>
    <x v="22"/>
    <n v="468.95"/>
    <n v="25"/>
    <n v="11723.75"/>
    <x v="227"/>
    <x v="195"/>
  </r>
  <r>
    <n v="81561"/>
    <x v="14"/>
    <x v="11"/>
    <n v="988.47"/>
    <n v="38"/>
    <n v="37561.86"/>
    <x v="223"/>
    <x v="23"/>
  </r>
  <r>
    <n v="31223"/>
    <x v="4"/>
    <x v="38"/>
    <n v="45.72"/>
    <n v="38"/>
    <n v="1737.36"/>
    <x v="228"/>
    <x v="213"/>
  </r>
  <r>
    <n v="15574"/>
    <x v="6"/>
    <x v="11"/>
    <n v="988.47"/>
    <n v="50"/>
    <n v="49423.5"/>
    <x v="63"/>
    <x v="113"/>
  </r>
  <r>
    <n v="86898"/>
    <x v="14"/>
    <x v="37"/>
    <n v="753.12"/>
    <n v="17"/>
    <n v="12803.04"/>
    <x v="163"/>
    <x v="214"/>
  </r>
  <r>
    <n v="80580"/>
    <x v="16"/>
    <x v="38"/>
    <n v="45.72"/>
    <n v="44"/>
    <n v="2011.68"/>
    <x v="229"/>
    <x v="215"/>
  </r>
  <r>
    <n v="43415"/>
    <x v="0"/>
    <x v="10"/>
    <n v="233.83"/>
    <n v="14"/>
    <n v="3273.62"/>
    <x v="205"/>
    <x v="216"/>
  </r>
  <r>
    <n v="53225"/>
    <x v="4"/>
    <x v="0"/>
    <n v="855.99"/>
    <n v="37"/>
    <n v="31671.63"/>
    <x v="12"/>
    <x v="217"/>
  </r>
  <r>
    <n v="16852"/>
    <x v="3"/>
    <x v="16"/>
    <n v="654.4"/>
    <n v="14"/>
    <n v="9161.6"/>
    <x v="44"/>
    <x v="218"/>
  </r>
  <r>
    <n v="88004"/>
    <x v="7"/>
    <x v="41"/>
    <n v="158.66999999999999"/>
    <n v="48"/>
    <n v="7616.16"/>
    <x v="230"/>
    <x v="219"/>
  </r>
  <r>
    <n v="52932"/>
    <x v="8"/>
    <x v="28"/>
    <n v="641.34"/>
    <n v="39"/>
    <n v="25012.26"/>
    <x v="231"/>
    <x v="220"/>
  </r>
  <r>
    <n v="31048"/>
    <x v="5"/>
    <x v="38"/>
    <n v="45.72"/>
    <n v="8"/>
    <n v="365.76"/>
    <x v="232"/>
    <x v="221"/>
  </r>
  <r>
    <n v="64420"/>
    <x v="0"/>
    <x v="15"/>
    <n v="608.37"/>
    <n v="24"/>
    <n v="14600.88"/>
    <x v="233"/>
    <x v="222"/>
  </r>
  <r>
    <n v="58217"/>
    <x v="15"/>
    <x v="48"/>
    <n v="95.12"/>
    <n v="24"/>
    <n v="2282.88"/>
    <x v="142"/>
    <x v="223"/>
  </r>
  <r>
    <n v="74146"/>
    <x v="15"/>
    <x v="28"/>
    <n v="641.34"/>
    <n v="48"/>
    <n v="30784.32"/>
    <x v="234"/>
    <x v="224"/>
  </r>
  <r>
    <n v="19893"/>
    <x v="0"/>
    <x v="47"/>
    <n v="325"/>
    <n v="48"/>
    <n v="15600"/>
    <x v="235"/>
    <x v="225"/>
  </r>
  <r>
    <n v="59167"/>
    <x v="18"/>
    <x v="47"/>
    <n v="325"/>
    <n v="13"/>
    <n v="4225"/>
    <x v="140"/>
    <x v="123"/>
  </r>
  <r>
    <n v="54440"/>
    <x v="5"/>
    <x v="23"/>
    <n v="533.15"/>
    <n v="47"/>
    <n v="25058.05"/>
    <x v="236"/>
    <x v="226"/>
  </r>
  <r>
    <n v="12947"/>
    <x v="9"/>
    <x v="34"/>
    <n v="474.55"/>
    <n v="35"/>
    <n v="16609.25"/>
    <x v="237"/>
    <x v="227"/>
  </r>
  <r>
    <n v="56043"/>
    <x v="3"/>
    <x v="20"/>
    <n v="93.68"/>
    <n v="36"/>
    <n v="3372.48"/>
    <x v="238"/>
    <x v="228"/>
  </r>
  <r>
    <n v="87385"/>
    <x v="7"/>
    <x v="13"/>
    <n v="110.41"/>
    <n v="1"/>
    <n v="110.41"/>
    <x v="208"/>
    <x v="229"/>
  </r>
  <r>
    <n v="44005"/>
    <x v="3"/>
    <x v="31"/>
    <n v="346.37"/>
    <n v="38"/>
    <n v="13162.06"/>
    <x v="239"/>
    <x v="230"/>
  </r>
  <r>
    <n v="37715"/>
    <x v="0"/>
    <x v="4"/>
    <n v="546.64"/>
    <n v="28"/>
    <n v="15305.92"/>
    <x v="240"/>
    <x v="231"/>
  </r>
  <r>
    <n v="26579"/>
    <x v="10"/>
    <x v="14"/>
    <n v="112.52"/>
    <n v="42"/>
    <n v="4725.84"/>
    <x v="241"/>
    <x v="232"/>
  </r>
  <r>
    <n v="63907"/>
    <x v="14"/>
    <x v="4"/>
    <n v="546.64"/>
    <n v="26"/>
    <n v="14212.64"/>
    <x v="242"/>
    <x v="25"/>
  </r>
  <r>
    <n v="32930"/>
    <x v="7"/>
    <x v="49"/>
    <n v="761.92"/>
    <n v="34"/>
    <n v="25905.279999999999"/>
    <x v="243"/>
    <x v="95"/>
  </r>
  <r>
    <n v="21324"/>
    <x v="17"/>
    <x v="22"/>
    <n v="468.95"/>
    <n v="24"/>
    <n v="11254.8"/>
    <x v="244"/>
    <x v="233"/>
  </r>
  <r>
    <n v="75629"/>
    <x v="8"/>
    <x v="26"/>
    <n v="730.09"/>
    <n v="45"/>
    <n v="32854.050000000003"/>
    <x v="245"/>
    <x v="234"/>
  </r>
  <r>
    <n v="99085"/>
    <x v="0"/>
    <x v="25"/>
    <n v="972.24"/>
    <n v="44"/>
    <n v="42778.559999999998"/>
    <x v="246"/>
    <x v="235"/>
  </r>
  <r>
    <n v="33584"/>
    <x v="1"/>
    <x v="8"/>
    <n v="596.97"/>
    <n v="43"/>
    <n v="25669.71"/>
    <x v="247"/>
    <x v="236"/>
  </r>
  <r>
    <n v="78393"/>
    <x v="15"/>
    <x v="9"/>
    <n v="796.94"/>
    <n v="11"/>
    <n v="8766.34"/>
    <x v="248"/>
    <x v="73"/>
  </r>
  <r>
    <n v="79026"/>
    <x v="14"/>
    <x v="30"/>
    <n v="988.73"/>
    <n v="46"/>
    <n v="45481.58"/>
    <x v="249"/>
    <x v="237"/>
  </r>
  <r>
    <n v="56681"/>
    <x v="11"/>
    <x v="1"/>
    <n v="683.98"/>
    <n v="10"/>
    <n v="6839.8"/>
    <x v="250"/>
    <x v="67"/>
  </r>
  <r>
    <n v="85821"/>
    <x v="0"/>
    <x v="9"/>
    <n v="796.94"/>
    <n v="15"/>
    <n v="11954.1"/>
    <x v="251"/>
    <x v="238"/>
  </r>
  <r>
    <n v="50180"/>
    <x v="11"/>
    <x v="21"/>
    <n v="534.77"/>
    <n v="22"/>
    <n v="11764.94"/>
    <x v="85"/>
    <x v="239"/>
  </r>
  <r>
    <n v="75746"/>
    <x v="0"/>
    <x v="35"/>
    <n v="611.66"/>
    <n v="39"/>
    <n v="23854.74"/>
    <x v="16"/>
    <x v="0"/>
  </r>
  <r>
    <n v="22668"/>
    <x v="12"/>
    <x v="8"/>
    <n v="596.97"/>
    <n v="45"/>
    <n v="26863.65"/>
    <x v="182"/>
    <x v="143"/>
  </r>
  <r>
    <n v="52483"/>
    <x v="2"/>
    <x v="26"/>
    <n v="730.09"/>
    <n v="37"/>
    <n v="27013.33"/>
    <x v="252"/>
    <x v="16"/>
  </r>
  <r>
    <n v="56267"/>
    <x v="14"/>
    <x v="42"/>
    <n v="430.1"/>
    <n v="5"/>
    <n v="2150.5"/>
    <x v="253"/>
    <x v="176"/>
  </r>
  <r>
    <n v="34103"/>
    <x v="1"/>
    <x v="2"/>
    <n v="68.05"/>
    <n v="17"/>
    <n v="1156.8499999999999"/>
    <x v="254"/>
    <x v="240"/>
  </r>
  <r>
    <n v="11404"/>
    <x v="7"/>
    <x v="18"/>
    <n v="617.33000000000004"/>
    <n v="38"/>
    <n v="23458.54"/>
    <x v="255"/>
    <x v="105"/>
  </r>
  <r>
    <n v="86685"/>
    <x v="2"/>
    <x v="32"/>
    <n v="184.57"/>
    <n v="41"/>
    <n v="7567.37"/>
    <x v="256"/>
    <x v="241"/>
  </r>
  <r>
    <n v="31705"/>
    <x v="16"/>
    <x v="46"/>
    <n v="346.4"/>
    <n v="24"/>
    <n v="8313.6"/>
    <x v="257"/>
    <x v="242"/>
  </r>
  <r>
    <n v="99954"/>
    <x v="8"/>
    <x v="15"/>
    <n v="608.37"/>
    <n v="13"/>
    <n v="7908.81"/>
    <x v="258"/>
    <x v="64"/>
  </r>
  <r>
    <n v="46591"/>
    <x v="15"/>
    <x v="13"/>
    <n v="110.41"/>
    <n v="28"/>
    <n v="3091.48"/>
    <x v="259"/>
    <x v="186"/>
  </r>
  <r>
    <n v="21265"/>
    <x v="19"/>
    <x v="34"/>
    <n v="474.55"/>
    <n v="26"/>
    <n v="12338.3"/>
    <x v="227"/>
    <x v="192"/>
  </r>
  <r>
    <n v="63638"/>
    <x v="14"/>
    <x v="4"/>
    <n v="546.64"/>
    <n v="15"/>
    <n v="8199.6"/>
    <x v="260"/>
    <x v="243"/>
  </r>
  <r>
    <n v="69643"/>
    <x v="6"/>
    <x v="13"/>
    <n v="110.41"/>
    <n v="1"/>
    <n v="110.41"/>
    <x v="261"/>
    <x v="244"/>
  </r>
  <r>
    <n v="65276"/>
    <x v="4"/>
    <x v="36"/>
    <n v="796.51"/>
    <n v="2"/>
    <n v="1593.02"/>
    <x v="262"/>
    <x v="245"/>
  </r>
  <r>
    <n v="78870"/>
    <x v="19"/>
    <x v="2"/>
    <n v="68.05"/>
    <n v="9"/>
    <n v="612.45000000000005"/>
    <x v="263"/>
    <x v="246"/>
  </r>
  <r>
    <n v="16249"/>
    <x v="18"/>
    <x v="18"/>
    <n v="617.33000000000004"/>
    <n v="23"/>
    <n v="14198.59"/>
    <x v="264"/>
    <x v="247"/>
  </r>
  <r>
    <n v="72661"/>
    <x v="2"/>
    <x v="45"/>
    <n v="890.84"/>
    <n v="6"/>
    <n v="5345.04"/>
    <x v="265"/>
    <x v="248"/>
  </r>
  <r>
    <n v="81723"/>
    <x v="10"/>
    <x v="12"/>
    <n v="875.47"/>
    <n v="48"/>
    <n v="42022.559999999998"/>
    <x v="176"/>
    <x v="249"/>
  </r>
  <r>
    <n v="26155"/>
    <x v="7"/>
    <x v="25"/>
    <n v="972.24"/>
    <n v="28"/>
    <n v="27222.720000000001"/>
    <x v="266"/>
    <x v="250"/>
  </r>
  <r>
    <n v="22622"/>
    <x v="7"/>
    <x v="32"/>
    <n v="184.57"/>
    <n v="12"/>
    <n v="2214.84"/>
    <x v="267"/>
    <x v="251"/>
  </r>
  <r>
    <n v="27967"/>
    <x v="12"/>
    <x v="39"/>
    <n v="402.36"/>
    <n v="30"/>
    <n v="12070.8"/>
    <x v="268"/>
    <x v="223"/>
  </r>
  <r>
    <n v="31464"/>
    <x v="19"/>
    <x v="4"/>
    <n v="546.64"/>
    <n v="2"/>
    <n v="1093.28"/>
    <x v="269"/>
    <x v="252"/>
  </r>
  <r>
    <n v="58282"/>
    <x v="10"/>
    <x v="37"/>
    <n v="753.12"/>
    <n v="46"/>
    <n v="34643.519999999997"/>
    <x v="270"/>
    <x v="253"/>
  </r>
  <r>
    <n v="46864"/>
    <x v="6"/>
    <x v="47"/>
    <n v="325"/>
    <n v="9"/>
    <n v="2925"/>
    <x v="271"/>
    <x v="8"/>
  </r>
  <r>
    <n v="94326"/>
    <x v="17"/>
    <x v="9"/>
    <n v="796.94"/>
    <n v="48"/>
    <n v="38253.120000000003"/>
    <x v="272"/>
    <x v="48"/>
  </r>
  <r>
    <n v="39909"/>
    <x v="10"/>
    <x v="5"/>
    <n v="622.16"/>
    <n v="49"/>
    <n v="30485.84"/>
    <x v="273"/>
    <x v="127"/>
  </r>
  <r>
    <n v="39028"/>
    <x v="3"/>
    <x v="2"/>
    <n v="68.05"/>
    <n v="5"/>
    <n v="340.25"/>
    <x v="124"/>
    <x v="128"/>
  </r>
  <r>
    <n v="82985"/>
    <x v="17"/>
    <x v="7"/>
    <n v="101.12"/>
    <n v="4"/>
    <n v="404.48"/>
    <x v="274"/>
    <x v="254"/>
  </r>
  <r>
    <n v="24248"/>
    <x v="0"/>
    <x v="38"/>
    <n v="45.72"/>
    <n v="7"/>
    <n v="320.04000000000002"/>
    <x v="275"/>
    <x v="255"/>
  </r>
  <r>
    <n v="28226"/>
    <x v="7"/>
    <x v="40"/>
    <n v="795.19"/>
    <n v="39"/>
    <n v="31012.41"/>
    <x v="198"/>
    <x v="256"/>
  </r>
  <r>
    <n v="43966"/>
    <x v="10"/>
    <x v="10"/>
    <n v="233.83"/>
    <n v="8"/>
    <n v="1870.64"/>
    <x v="168"/>
    <x v="257"/>
  </r>
  <r>
    <n v="89448"/>
    <x v="1"/>
    <x v="31"/>
    <n v="346.37"/>
    <n v="27"/>
    <n v="9351.99"/>
    <x v="143"/>
    <x v="258"/>
  </r>
  <r>
    <n v="12776"/>
    <x v="7"/>
    <x v="0"/>
    <n v="855.99"/>
    <n v="47"/>
    <n v="40231.53"/>
    <x v="276"/>
    <x v="259"/>
  </r>
  <r>
    <n v="73515"/>
    <x v="7"/>
    <x v="2"/>
    <n v="68.05"/>
    <n v="28"/>
    <n v="1905.4"/>
    <x v="277"/>
    <x v="260"/>
  </r>
  <r>
    <n v="76972"/>
    <x v="10"/>
    <x v="2"/>
    <n v="68.05"/>
    <n v="19"/>
    <n v="1292.95"/>
    <x v="278"/>
    <x v="261"/>
  </r>
  <r>
    <n v="29691"/>
    <x v="16"/>
    <x v="40"/>
    <n v="795.19"/>
    <n v="17"/>
    <n v="13518.23"/>
    <x v="253"/>
    <x v="220"/>
  </r>
  <r>
    <n v="78313"/>
    <x v="8"/>
    <x v="24"/>
    <n v="323.73"/>
    <n v="14"/>
    <n v="4532.22"/>
    <x v="203"/>
    <x v="179"/>
  </r>
  <r>
    <n v="34317"/>
    <x v="1"/>
    <x v="43"/>
    <n v="870.6"/>
    <n v="48"/>
    <n v="41788.800000000003"/>
    <x v="279"/>
    <x v="262"/>
  </r>
  <r>
    <n v="96973"/>
    <x v="4"/>
    <x v="0"/>
    <n v="855.99"/>
    <n v="30"/>
    <n v="25679.7"/>
    <x v="106"/>
    <x v="103"/>
  </r>
  <r>
    <n v="17941"/>
    <x v="10"/>
    <x v="35"/>
    <n v="611.66"/>
    <n v="30"/>
    <n v="18349.8"/>
    <x v="178"/>
    <x v="263"/>
  </r>
  <r>
    <n v="61297"/>
    <x v="2"/>
    <x v="7"/>
    <n v="101.12"/>
    <n v="44"/>
    <n v="4449.28"/>
    <x v="2"/>
    <x v="39"/>
  </r>
  <r>
    <n v="94988"/>
    <x v="8"/>
    <x v="46"/>
    <n v="346.4"/>
    <n v="7"/>
    <n v="2424.8000000000002"/>
    <x v="280"/>
    <x v="264"/>
  </r>
  <r>
    <n v="54266"/>
    <x v="6"/>
    <x v="21"/>
    <n v="534.77"/>
    <n v="12"/>
    <n v="6417.24"/>
    <x v="281"/>
    <x v="265"/>
  </r>
  <r>
    <n v="27504"/>
    <x v="10"/>
    <x v="22"/>
    <n v="468.95"/>
    <n v="11"/>
    <n v="5158.45"/>
    <x v="282"/>
    <x v="266"/>
  </r>
  <r>
    <n v="32171"/>
    <x v="12"/>
    <x v="45"/>
    <n v="890.84"/>
    <n v="36"/>
    <n v="32070.240000000002"/>
    <x v="283"/>
    <x v="267"/>
  </r>
  <r>
    <n v="80393"/>
    <x v="2"/>
    <x v="22"/>
    <n v="468.95"/>
    <n v="33"/>
    <n v="15475.35"/>
    <x v="284"/>
    <x v="249"/>
  </r>
  <r>
    <n v="68509"/>
    <x v="9"/>
    <x v="33"/>
    <n v="705.68"/>
    <n v="31"/>
    <n v="21876.080000000002"/>
    <x v="285"/>
    <x v="268"/>
  </r>
  <r>
    <n v="40118"/>
    <x v="13"/>
    <x v="43"/>
    <n v="870.6"/>
    <n v="16"/>
    <n v="13929.6"/>
    <x v="2"/>
    <x v="269"/>
  </r>
  <r>
    <n v="22561"/>
    <x v="2"/>
    <x v="31"/>
    <n v="346.37"/>
    <n v="28"/>
    <n v="9698.36"/>
    <x v="286"/>
    <x v="270"/>
  </r>
  <r>
    <n v="52705"/>
    <x v="10"/>
    <x v="30"/>
    <n v="988.73"/>
    <n v="40"/>
    <n v="39549.199999999997"/>
    <x v="287"/>
    <x v="271"/>
  </r>
  <r>
    <n v="56135"/>
    <x v="11"/>
    <x v="18"/>
    <n v="617.33000000000004"/>
    <n v="15"/>
    <n v="9259.9500000000007"/>
    <x v="288"/>
    <x v="155"/>
  </r>
  <r>
    <n v="75126"/>
    <x v="9"/>
    <x v="18"/>
    <n v="617.33000000000004"/>
    <n v="4"/>
    <n v="2469.3200000000002"/>
    <x v="289"/>
    <x v="74"/>
  </r>
  <r>
    <n v="80522"/>
    <x v="4"/>
    <x v="22"/>
    <n v="468.95"/>
    <n v="33"/>
    <n v="15475.35"/>
    <x v="290"/>
    <x v="272"/>
  </r>
  <r>
    <n v="60774"/>
    <x v="16"/>
    <x v="48"/>
    <n v="95.12"/>
    <n v="36"/>
    <n v="3424.32"/>
    <x v="291"/>
    <x v="273"/>
  </r>
  <r>
    <n v="53240"/>
    <x v="10"/>
    <x v="12"/>
    <n v="875.47"/>
    <n v="29"/>
    <n v="25388.63"/>
    <x v="292"/>
    <x v="274"/>
  </r>
  <r>
    <n v="17398"/>
    <x v="16"/>
    <x v="11"/>
    <n v="988.47"/>
    <n v="25"/>
    <n v="24711.75"/>
    <x v="293"/>
    <x v="275"/>
  </r>
  <r>
    <n v="57858"/>
    <x v="15"/>
    <x v="17"/>
    <n v="366.3"/>
    <n v="13"/>
    <n v="4761.8999999999996"/>
    <x v="7"/>
    <x v="261"/>
  </r>
  <r>
    <n v="93000"/>
    <x v="13"/>
    <x v="12"/>
    <n v="875.47"/>
    <n v="32"/>
    <n v="28015.040000000001"/>
    <x v="294"/>
    <x v="276"/>
  </r>
  <r>
    <n v="59986"/>
    <x v="11"/>
    <x v="24"/>
    <n v="323.73"/>
    <n v="33"/>
    <n v="10683.09"/>
    <x v="117"/>
    <x v="277"/>
  </r>
  <r>
    <n v="69704"/>
    <x v="6"/>
    <x v="16"/>
    <n v="654.4"/>
    <n v="45"/>
    <n v="29448"/>
    <x v="295"/>
    <x v="278"/>
  </r>
  <r>
    <n v="46323"/>
    <x v="6"/>
    <x v="25"/>
    <n v="972.24"/>
    <n v="42"/>
    <n v="40834.080000000002"/>
    <x v="274"/>
    <x v="279"/>
  </r>
  <r>
    <n v="60804"/>
    <x v="11"/>
    <x v="28"/>
    <n v="641.34"/>
    <n v="3"/>
    <n v="1924.02"/>
    <x v="231"/>
    <x v="280"/>
  </r>
  <r>
    <n v="36936"/>
    <x v="15"/>
    <x v="28"/>
    <n v="641.34"/>
    <n v="25"/>
    <n v="16033.5"/>
    <x v="296"/>
    <x v="125"/>
  </r>
  <r>
    <n v="97707"/>
    <x v="5"/>
    <x v="47"/>
    <n v="325"/>
    <n v="17"/>
    <n v="5525"/>
    <x v="297"/>
    <x v="253"/>
  </r>
  <r>
    <n v="73780"/>
    <x v="17"/>
    <x v="4"/>
    <n v="546.64"/>
    <n v="27"/>
    <n v="14759.28"/>
    <x v="158"/>
    <x v="110"/>
  </r>
  <r>
    <n v="33107"/>
    <x v="14"/>
    <x v="37"/>
    <n v="753.12"/>
    <n v="2"/>
    <n v="1506.24"/>
    <x v="160"/>
    <x v="60"/>
  </r>
  <r>
    <n v="53488"/>
    <x v="13"/>
    <x v="25"/>
    <n v="972.24"/>
    <n v="23"/>
    <n v="22361.52"/>
    <x v="298"/>
    <x v="35"/>
  </r>
  <r>
    <n v="43730"/>
    <x v="3"/>
    <x v="13"/>
    <n v="110.41"/>
    <n v="35"/>
    <n v="3864.35"/>
    <x v="299"/>
    <x v="104"/>
  </r>
  <r>
    <n v="11654"/>
    <x v="6"/>
    <x v="48"/>
    <n v="95.12"/>
    <n v="50"/>
    <n v="4756"/>
    <x v="173"/>
    <x v="52"/>
  </r>
  <r>
    <n v="90340"/>
    <x v="5"/>
    <x v="36"/>
    <n v="796.51"/>
    <n v="20"/>
    <n v="15930.2"/>
    <x v="300"/>
    <x v="11"/>
  </r>
  <r>
    <n v="76605"/>
    <x v="15"/>
    <x v="35"/>
    <n v="611.66"/>
    <n v="44"/>
    <n v="26913.040000000001"/>
    <x v="127"/>
    <x v="215"/>
  </r>
  <r>
    <n v="93873"/>
    <x v="19"/>
    <x v="38"/>
    <n v="45.72"/>
    <n v="33"/>
    <n v="1508.76"/>
    <x v="301"/>
    <x v="281"/>
  </r>
  <r>
    <n v="16581"/>
    <x v="12"/>
    <x v="38"/>
    <n v="45.72"/>
    <n v="29"/>
    <n v="1325.88"/>
    <x v="302"/>
    <x v="282"/>
  </r>
  <r>
    <n v="71892"/>
    <x v="8"/>
    <x v="17"/>
    <n v="366.3"/>
    <n v="23"/>
    <n v="8424.9"/>
    <x v="303"/>
    <x v="283"/>
  </r>
  <r>
    <n v="79162"/>
    <x v="16"/>
    <x v="14"/>
    <n v="112.52"/>
    <n v="1"/>
    <n v="112.52"/>
    <x v="304"/>
    <x v="284"/>
  </r>
  <r>
    <n v="91327"/>
    <x v="7"/>
    <x v="19"/>
    <n v="682.74"/>
    <n v="37"/>
    <n v="25261.38"/>
    <x v="105"/>
    <x v="285"/>
  </r>
  <r>
    <n v="74529"/>
    <x v="0"/>
    <x v="14"/>
    <n v="112.52"/>
    <n v="28"/>
    <n v="3150.56"/>
    <x v="206"/>
    <x v="214"/>
  </r>
  <r>
    <n v="93143"/>
    <x v="19"/>
    <x v="29"/>
    <n v="404.9"/>
    <n v="40"/>
    <n v="16196"/>
    <x v="305"/>
    <x v="286"/>
  </r>
  <r>
    <n v="88273"/>
    <x v="11"/>
    <x v="13"/>
    <n v="110.41"/>
    <n v="36"/>
    <n v="3974.76"/>
    <x v="6"/>
    <x v="103"/>
  </r>
  <r>
    <n v="52239"/>
    <x v="15"/>
    <x v="14"/>
    <n v="112.52"/>
    <n v="1"/>
    <n v="112.52"/>
    <x v="306"/>
    <x v="72"/>
  </r>
  <r>
    <n v="64930"/>
    <x v="12"/>
    <x v="22"/>
    <n v="468.95"/>
    <n v="35"/>
    <n v="16413.25"/>
    <x v="76"/>
    <x v="145"/>
  </r>
  <r>
    <n v="70420"/>
    <x v="17"/>
    <x v="22"/>
    <n v="468.95"/>
    <n v="12"/>
    <n v="5627.4"/>
    <x v="307"/>
    <x v="287"/>
  </r>
  <r>
    <n v="12397"/>
    <x v="10"/>
    <x v="21"/>
    <n v="534.77"/>
    <n v="48"/>
    <n v="25668.959999999999"/>
    <x v="308"/>
    <x v="283"/>
  </r>
  <r>
    <n v="22338"/>
    <x v="6"/>
    <x v="14"/>
    <n v="112.52"/>
    <n v="3"/>
    <n v="337.56"/>
    <x v="309"/>
    <x v="130"/>
  </r>
  <r>
    <n v="67490"/>
    <x v="5"/>
    <x v="7"/>
    <n v="101.12"/>
    <n v="26"/>
    <n v="2629.12"/>
    <x v="66"/>
    <x v="288"/>
  </r>
  <r>
    <n v="87685"/>
    <x v="2"/>
    <x v="48"/>
    <n v="95.12"/>
    <n v="37"/>
    <n v="3519.44"/>
    <x v="310"/>
    <x v="270"/>
  </r>
  <r>
    <n v="27541"/>
    <x v="15"/>
    <x v="38"/>
    <n v="45.72"/>
    <n v="8"/>
    <n v="365.76"/>
    <x v="197"/>
    <x v="286"/>
  </r>
  <r>
    <n v="88560"/>
    <x v="19"/>
    <x v="23"/>
    <n v="533.15"/>
    <n v="17"/>
    <n v="9063.5499999999993"/>
    <x v="311"/>
    <x v="140"/>
  </r>
  <r>
    <n v="58492"/>
    <x v="11"/>
    <x v="45"/>
    <n v="890.84"/>
    <n v="29"/>
    <n v="25834.36"/>
    <x v="219"/>
    <x v="226"/>
  </r>
  <r>
    <n v="44585"/>
    <x v="15"/>
    <x v="41"/>
    <n v="158.66999999999999"/>
    <n v="15"/>
    <n v="2380.0500000000002"/>
    <x v="52"/>
    <x v="231"/>
  </r>
  <r>
    <n v="12270"/>
    <x v="2"/>
    <x v="46"/>
    <n v="346.4"/>
    <n v="11"/>
    <n v="3810.4"/>
    <x v="312"/>
    <x v="126"/>
  </r>
  <r>
    <n v="22736"/>
    <x v="1"/>
    <x v="48"/>
    <n v="95.12"/>
    <n v="44"/>
    <n v="4185.28"/>
    <x v="313"/>
    <x v="289"/>
  </r>
  <r>
    <n v="57262"/>
    <x v="14"/>
    <x v="38"/>
    <n v="45.72"/>
    <n v="35"/>
    <n v="1600.2"/>
    <x v="314"/>
    <x v="290"/>
  </r>
  <r>
    <n v="83694"/>
    <x v="8"/>
    <x v="13"/>
    <n v="110.41"/>
    <n v="18"/>
    <n v="1987.38"/>
    <x v="315"/>
    <x v="291"/>
  </r>
  <r>
    <n v="36973"/>
    <x v="8"/>
    <x v="41"/>
    <n v="158.66999999999999"/>
    <n v="18"/>
    <n v="2856.06"/>
    <x v="316"/>
    <x v="249"/>
  </r>
  <r>
    <n v="96138"/>
    <x v="16"/>
    <x v="48"/>
    <n v="95.12"/>
    <n v="37"/>
    <n v="3519.44"/>
    <x v="79"/>
    <x v="292"/>
  </r>
  <r>
    <n v="48328"/>
    <x v="8"/>
    <x v="35"/>
    <n v="611.66"/>
    <n v="21"/>
    <n v="12844.86"/>
    <x v="30"/>
    <x v="293"/>
  </r>
  <r>
    <n v="55489"/>
    <x v="18"/>
    <x v="32"/>
    <n v="184.57"/>
    <n v="38"/>
    <n v="7013.66"/>
    <x v="317"/>
    <x v="294"/>
  </r>
  <r>
    <n v="30869"/>
    <x v="3"/>
    <x v="22"/>
    <n v="468.95"/>
    <n v="5"/>
    <n v="2344.75"/>
    <x v="318"/>
    <x v="39"/>
  </r>
  <r>
    <n v="56902"/>
    <x v="0"/>
    <x v="6"/>
    <n v="222.47"/>
    <n v="13"/>
    <n v="2892.11"/>
    <x v="319"/>
    <x v="295"/>
  </r>
  <r>
    <n v="82458"/>
    <x v="13"/>
    <x v="43"/>
    <n v="870.6"/>
    <n v="41"/>
    <n v="35694.6"/>
    <x v="82"/>
    <x v="296"/>
  </r>
  <r>
    <n v="11128"/>
    <x v="15"/>
    <x v="3"/>
    <n v="449.74"/>
    <n v="21"/>
    <n v="9444.5400000000009"/>
    <x v="320"/>
    <x v="297"/>
  </r>
  <r>
    <n v="31734"/>
    <x v="11"/>
    <x v="31"/>
    <n v="346.37"/>
    <n v="46"/>
    <n v="15933.02"/>
    <x v="231"/>
    <x v="175"/>
  </r>
  <r>
    <n v="18349"/>
    <x v="8"/>
    <x v="28"/>
    <n v="641.34"/>
    <n v="50"/>
    <n v="32067"/>
    <x v="42"/>
    <x v="298"/>
  </r>
  <r>
    <n v="49390"/>
    <x v="1"/>
    <x v="8"/>
    <n v="596.97"/>
    <n v="43"/>
    <n v="25669.71"/>
    <x v="161"/>
    <x v="299"/>
  </r>
  <r>
    <n v="22580"/>
    <x v="17"/>
    <x v="48"/>
    <n v="95.12"/>
    <n v="25"/>
    <n v="2378"/>
    <x v="106"/>
    <x v="260"/>
  </r>
  <r>
    <n v="39360"/>
    <x v="18"/>
    <x v="38"/>
    <n v="45.72"/>
    <n v="45"/>
    <n v="2057.4"/>
    <x v="321"/>
    <x v="300"/>
  </r>
  <r>
    <n v="75768"/>
    <x v="5"/>
    <x v="34"/>
    <n v="474.55"/>
    <n v="12"/>
    <n v="5694.6"/>
    <x v="41"/>
    <x v="301"/>
  </r>
  <r>
    <n v="85549"/>
    <x v="15"/>
    <x v="37"/>
    <n v="753.12"/>
    <n v="46"/>
    <n v="34643.519999999997"/>
    <x v="322"/>
    <x v="277"/>
  </r>
  <r>
    <n v="64524"/>
    <x v="13"/>
    <x v="48"/>
    <n v="95.12"/>
    <n v="16"/>
    <n v="1521.92"/>
    <x v="323"/>
    <x v="86"/>
  </r>
  <r>
    <n v="15458"/>
    <x v="11"/>
    <x v="31"/>
    <n v="346.37"/>
    <n v="38"/>
    <n v="13162.06"/>
    <x v="171"/>
    <x v="209"/>
  </r>
  <r>
    <n v="92464"/>
    <x v="17"/>
    <x v="40"/>
    <n v="795.19"/>
    <n v="32"/>
    <n v="25446.080000000002"/>
    <x v="324"/>
    <x v="302"/>
  </r>
  <r>
    <n v="60241"/>
    <x v="9"/>
    <x v="10"/>
    <n v="233.83"/>
    <n v="39"/>
    <n v="9119.3700000000008"/>
    <x v="3"/>
    <x v="296"/>
  </r>
  <r>
    <n v="64461"/>
    <x v="18"/>
    <x v="16"/>
    <n v="654.4"/>
    <n v="21"/>
    <n v="13742.4"/>
    <x v="45"/>
    <x v="303"/>
  </r>
  <r>
    <n v="34168"/>
    <x v="12"/>
    <x v="21"/>
    <n v="534.77"/>
    <n v="8"/>
    <n v="4278.16"/>
    <x v="325"/>
    <x v="304"/>
  </r>
  <r>
    <n v="24032"/>
    <x v="13"/>
    <x v="26"/>
    <n v="730.09"/>
    <n v="33"/>
    <n v="24092.97"/>
    <x v="95"/>
    <x v="305"/>
  </r>
  <r>
    <n v="58651"/>
    <x v="0"/>
    <x v="32"/>
    <n v="184.57"/>
    <n v="35"/>
    <n v="6459.95"/>
    <x v="326"/>
    <x v="176"/>
  </r>
  <r>
    <n v="27771"/>
    <x v="7"/>
    <x v="24"/>
    <n v="323.73"/>
    <n v="13"/>
    <n v="4208.49"/>
    <x v="327"/>
    <x v="306"/>
  </r>
  <r>
    <n v="92923"/>
    <x v="0"/>
    <x v="4"/>
    <n v="546.64"/>
    <n v="9"/>
    <n v="4919.76"/>
    <x v="153"/>
    <x v="53"/>
  </r>
  <r>
    <n v="30865"/>
    <x v="8"/>
    <x v="46"/>
    <n v="346.4"/>
    <n v="31"/>
    <n v="10738.4"/>
    <x v="282"/>
    <x v="307"/>
  </r>
  <r>
    <n v="21313"/>
    <x v="2"/>
    <x v="9"/>
    <n v="796.94"/>
    <n v="22"/>
    <n v="17532.68"/>
    <x v="328"/>
    <x v="308"/>
  </r>
  <r>
    <n v="99839"/>
    <x v="3"/>
    <x v="19"/>
    <n v="682.74"/>
    <n v="48"/>
    <n v="32771.519999999997"/>
    <x v="329"/>
    <x v="309"/>
  </r>
  <r>
    <n v="20391"/>
    <x v="3"/>
    <x v="8"/>
    <n v="596.97"/>
    <n v="41"/>
    <n v="24475.77"/>
    <x v="330"/>
    <x v="70"/>
  </r>
  <r>
    <n v="99950"/>
    <x v="7"/>
    <x v="5"/>
    <n v="622.16"/>
    <n v="8"/>
    <n v="4977.28"/>
    <x v="331"/>
    <x v="310"/>
  </r>
  <r>
    <n v="14984"/>
    <x v="5"/>
    <x v="8"/>
    <n v="596.97"/>
    <n v="21"/>
    <n v="12536.37"/>
    <x v="276"/>
    <x v="311"/>
  </r>
  <r>
    <n v="69431"/>
    <x v="5"/>
    <x v="11"/>
    <n v="988.47"/>
    <n v="26"/>
    <n v="25700.22"/>
    <x v="332"/>
    <x v="312"/>
  </r>
  <r>
    <n v="11640"/>
    <x v="9"/>
    <x v="48"/>
    <n v="95.12"/>
    <n v="41"/>
    <n v="3899.92"/>
    <x v="112"/>
    <x v="122"/>
  </r>
  <r>
    <n v="62972"/>
    <x v="10"/>
    <x v="8"/>
    <n v="596.97"/>
    <n v="48"/>
    <n v="28654.560000000001"/>
    <x v="333"/>
    <x v="141"/>
  </r>
  <r>
    <n v="65992"/>
    <x v="3"/>
    <x v="1"/>
    <n v="683.98"/>
    <n v="50"/>
    <n v="34199"/>
    <x v="334"/>
    <x v="313"/>
  </r>
  <r>
    <n v="71180"/>
    <x v="5"/>
    <x v="1"/>
    <n v="683.98"/>
    <n v="25"/>
    <n v="17099.5"/>
    <x v="216"/>
    <x v="314"/>
  </r>
  <r>
    <n v="82980"/>
    <x v="11"/>
    <x v="8"/>
    <n v="596.97"/>
    <n v="8"/>
    <n v="4775.76"/>
    <x v="16"/>
    <x v="315"/>
  </r>
  <r>
    <n v="50913"/>
    <x v="11"/>
    <x v="41"/>
    <n v="158.66999999999999"/>
    <n v="44"/>
    <n v="6981.48"/>
    <x v="250"/>
    <x v="72"/>
  </r>
  <r>
    <n v="39722"/>
    <x v="15"/>
    <x v="4"/>
    <n v="546.64"/>
    <n v="23"/>
    <n v="12572.72"/>
    <x v="167"/>
    <x v="100"/>
  </r>
  <r>
    <n v="38628"/>
    <x v="1"/>
    <x v="38"/>
    <n v="45.72"/>
    <n v="45"/>
    <n v="2057.4"/>
    <x v="335"/>
    <x v="110"/>
  </r>
  <r>
    <n v="85787"/>
    <x v="10"/>
    <x v="29"/>
    <n v="404.9"/>
    <n v="10"/>
    <n v="4049"/>
    <x v="97"/>
    <x v="158"/>
  </r>
  <r>
    <n v="53349"/>
    <x v="9"/>
    <x v="18"/>
    <n v="617.33000000000004"/>
    <n v="14"/>
    <n v="8642.6200000000008"/>
    <x v="226"/>
    <x v="316"/>
  </r>
  <r>
    <n v="64760"/>
    <x v="17"/>
    <x v="13"/>
    <n v="110.41"/>
    <n v="16"/>
    <n v="1766.56"/>
    <x v="284"/>
    <x v="317"/>
  </r>
  <r>
    <n v="80566"/>
    <x v="6"/>
    <x v="40"/>
    <n v="795.19"/>
    <n v="43"/>
    <n v="34193.17"/>
    <x v="302"/>
    <x v="318"/>
  </r>
  <r>
    <n v="57248"/>
    <x v="9"/>
    <x v="11"/>
    <n v="988.47"/>
    <n v="31"/>
    <n v="30642.57"/>
    <x v="336"/>
    <x v="319"/>
  </r>
  <r>
    <n v="69370"/>
    <x v="15"/>
    <x v="21"/>
    <n v="534.77"/>
    <n v="6"/>
    <n v="3208.62"/>
    <x v="337"/>
    <x v="116"/>
  </r>
  <r>
    <n v="30080"/>
    <x v="10"/>
    <x v="27"/>
    <n v="399.32"/>
    <n v="26"/>
    <n v="10382.32"/>
    <x v="55"/>
    <x v="247"/>
  </r>
  <r>
    <n v="92744"/>
    <x v="19"/>
    <x v="25"/>
    <n v="972.24"/>
    <n v="12"/>
    <n v="11666.88"/>
    <x v="338"/>
    <x v="215"/>
  </r>
  <r>
    <n v="38818"/>
    <x v="2"/>
    <x v="42"/>
    <n v="430.1"/>
    <n v="33"/>
    <n v="14193.3"/>
    <x v="339"/>
    <x v="320"/>
  </r>
  <r>
    <n v="10768"/>
    <x v="8"/>
    <x v="47"/>
    <n v="325"/>
    <n v="32"/>
    <n v="10400"/>
    <x v="274"/>
    <x v="307"/>
  </r>
  <r>
    <n v="20535"/>
    <x v="18"/>
    <x v="28"/>
    <n v="641.34"/>
    <n v="41"/>
    <n v="26294.94"/>
    <x v="340"/>
    <x v="321"/>
  </r>
  <r>
    <n v="19347"/>
    <x v="7"/>
    <x v="1"/>
    <n v="683.98"/>
    <n v="35"/>
    <n v="23939.3"/>
    <x v="66"/>
    <x v="322"/>
  </r>
  <r>
    <n v="21424"/>
    <x v="10"/>
    <x v="18"/>
    <n v="617.33000000000004"/>
    <n v="7"/>
    <n v="4321.3100000000004"/>
    <x v="163"/>
    <x v="188"/>
  </r>
  <r>
    <n v="27229"/>
    <x v="6"/>
    <x v="28"/>
    <n v="641.34"/>
    <n v="7"/>
    <n v="4489.38"/>
    <x v="71"/>
    <x v="143"/>
  </r>
  <r>
    <n v="75783"/>
    <x v="19"/>
    <x v="24"/>
    <n v="323.73"/>
    <n v="30"/>
    <n v="9711.9"/>
    <x v="341"/>
    <x v="323"/>
  </r>
  <r>
    <n v="98733"/>
    <x v="19"/>
    <x v="26"/>
    <n v="730.09"/>
    <n v="35"/>
    <n v="25553.15"/>
    <x v="342"/>
    <x v="324"/>
  </r>
  <r>
    <n v="92555"/>
    <x v="0"/>
    <x v="27"/>
    <n v="399.32"/>
    <n v="49"/>
    <n v="19566.68"/>
    <x v="284"/>
    <x v="61"/>
  </r>
  <r>
    <n v="75835"/>
    <x v="5"/>
    <x v="18"/>
    <n v="617.33000000000004"/>
    <n v="3"/>
    <n v="1851.99"/>
    <x v="137"/>
    <x v="240"/>
  </r>
  <r>
    <n v="23476"/>
    <x v="19"/>
    <x v="17"/>
    <n v="366.3"/>
    <n v="13"/>
    <n v="4761.8999999999996"/>
    <x v="343"/>
    <x v="118"/>
  </r>
  <r>
    <n v="65385"/>
    <x v="11"/>
    <x v="3"/>
    <n v="449.74"/>
    <n v="14"/>
    <n v="6296.36"/>
    <x v="344"/>
    <x v="192"/>
  </r>
  <r>
    <n v="15514"/>
    <x v="3"/>
    <x v="2"/>
    <n v="68.05"/>
    <n v="48"/>
    <n v="3266.4"/>
    <x v="257"/>
    <x v="325"/>
  </r>
  <r>
    <n v="21209"/>
    <x v="3"/>
    <x v="1"/>
    <n v="683.98"/>
    <n v="41"/>
    <n v="28043.18"/>
    <x v="341"/>
    <x v="326"/>
  </r>
  <r>
    <n v="25120"/>
    <x v="13"/>
    <x v="8"/>
    <n v="596.97"/>
    <n v="33"/>
    <n v="19700.009999999998"/>
    <x v="99"/>
    <x v="327"/>
  </r>
  <r>
    <n v="73157"/>
    <x v="6"/>
    <x v="20"/>
    <n v="93.68"/>
    <n v="49"/>
    <n v="4590.32"/>
    <x v="119"/>
    <x v="328"/>
  </r>
  <r>
    <n v="44812"/>
    <x v="13"/>
    <x v="43"/>
    <n v="870.6"/>
    <n v="6"/>
    <n v="5223.6000000000004"/>
    <x v="345"/>
    <x v="329"/>
  </r>
  <r>
    <n v="26724"/>
    <x v="16"/>
    <x v="35"/>
    <n v="611.66"/>
    <n v="2"/>
    <n v="1223.32"/>
    <x v="346"/>
    <x v="206"/>
  </r>
  <r>
    <n v="26525"/>
    <x v="18"/>
    <x v="39"/>
    <n v="402.36"/>
    <n v="48"/>
    <n v="19313.28"/>
    <x v="59"/>
    <x v="330"/>
  </r>
  <r>
    <n v="74378"/>
    <x v="17"/>
    <x v="16"/>
    <n v="654.4"/>
    <n v="32"/>
    <n v="20940.8"/>
    <x v="174"/>
    <x v="331"/>
  </r>
  <r>
    <n v="17598"/>
    <x v="3"/>
    <x v="28"/>
    <n v="641.34"/>
    <n v="16"/>
    <n v="10261.44"/>
    <x v="87"/>
    <x v="179"/>
  </r>
  <r>
    <n v="46300"/>
    <x v="0"/>
    <x v="49"/>
    <n v="761.92"/>
    <n v="6"/>
    <n v="4571.5200000000004"/>
    <x v="347"/>
    <x v="161"/>
  </r>
  <r>
    <n v="60123"/>
    <x v="7"/>
    <x v="29"/>
    <n v="404.9"/>
    <n v="49"/>
    <n v="19840.099999999999"/>
    <x v="348"/>
    <x v="307"/>
  </r>
  <r>
    <n v="93696"/>
    <x v="3"/>
    <x v="15"/>
    <n v="608.37"/>
    <n v="29"/>
    <n v="17642.73"/>
    <x v="9"/>
    <x v="124"/>
  </r>
  <r>
    <n v="29594"/>
    <x v="11"/>
    <x v="15"/>
    <n v="608.37"/>
    <n v="7"/>
    <n v="4258.59"/>
    <x v="262"/>
    <x v="332"/>
  </r>
  <r>
    <n v="38139"/>
    <x v="9"/>
    <x v="0"/>
    <n v="855.99"/>
    <n v="32"/>
    <n v="27391.68"/>
    <x v="349"/>
    <x v="14"/>
  </r>
  <r>
    <n v="42866"/>
    <x v="16"/>
    <x v="46"/>
    <n v="346.4"/>
    <n v="10"/>
    <n v="3464"/>
    <x v="56"/>
    <x v="333"/>
  </r>
  <r>
    <n v="53025"/>
    <x v="16"/>
    <x v="8"/>
    <n v="596.97"/>
    <n v="47"/>
    <n v="28057.59"/>
    <x v="350"/>
    <x v="153"/>
  </r>
  <r>
    <n v="53700"/>
    <x v="5"/>
    <x v="24"/>
    <n v="323.73"/>
    <n v="4"/>
    <n v="1294.92"/>
    <x v="33"/>
    <x v="334"/>
  </r>
  <r>
    <n v="19229"/>
    <x v="9"/>
    <x v="43"/>
    <n v="870.6"/>
    <n v="34"/>
    <n v="29600.400000000001"/>
    <x v="351"/>
    <x v="335"/>
  </r>
  <r>
    <n v="19458"/>
    <x v="4"/>
    <x v="16"/>
    <n v="654.4"/>
    <n v="19"/>
    <n v="12433.6"/>
    <x v="39"/>
    <x v="336"/>
  </r>
  <r>
    <n v="71761"/>
    <x v="0"/>
    <x v="20"/>
    <n v="93.68"/>
    <n v="34"/>
    <n v="3185.12"/>
    <x v="352"/>
    <x v="337"/>
  </r>
  <r>
    <n v="53301"/>
    <x v="6"/>
    <x v="42"/>
    <n v="430.1"/>
    <n v="27"/>
    <n v="11612.7"/>
    <x v="353"/>
    <x v="233"/>
  </r>
  <r>
    <n v="44105"/>
    <x v="2"/>
    <x v="43"/>
    <n v="870.6"/>
    <n v="6"/>
    <n v="5223.6000000000004"/>
    <x v="336"/>
    <x v="338"/>
  </r>
  <r>
    <n v="97893"/>
    <x v="10"/>
    <x v="28"/>
    <n v="641.34"/>
    <n v="33"/>
    <n v="21164.22"/>
    <x v="354"/>
    <x v="63"/>
  </r>
  <r>
    <n v="25766"/>
    <x v="9"/>
    <x v="49"/>
    <n v="761.92"/>
    <n v="21"/>
    <n v="16000.32"/>
    <x v="355"/>
    <x v="224"/>
  </r>
  <r>
    <n v="98086"/>
    <x v="7"/>
    <x v="47"/>
    <n v="325"/>
    <n v="15"/>
    <n v="4875"/>
    <x v="356"/>
    <x v="178"/>
  </r>
  <r>
    <n v="23888"/>
    <x v="2"/>
    <x v="39"/>
    <n v="402.36"/>
    <n v="33"/>
    <n v="13277.88"/>
    <x v="119"/>
    <x v="339"/>
  </r>
  <r>
    <n v="33185"/>
    <x v="10"/>
    <x v="5"/>
    <n v="622.16"/>
    <n v="3"/>
    <n v="1866.48"/>
    <x v="357"/>
    <x v="135"/>
  </r>
  <r>
    <n v="91404"/>
    <x v="8"/>
    <x v="19"/>
    <n v="682.74"/>
    <n v="26"/>
    <n v="17751.240000000002"/>
    <x v="307"/>
    <x v="340"/>
  </r>
  <r>
    <n v="16528"/>
    <x v="19"/>
    <x v="11"/>
    <n v="988.47"/>
    <n v="29"/>
    <n v="28665.63"/>
    <x v="356"/>
    <x v="341"/>
  </r>
  <r>
    <n v="68437"/>
    <x v="11"/>
    <x v="17"/>
    <n v="366.3"/>
    <n v="8"/>
    <n v="2930.4"/>
    <x v="42"/>
    <x v="342"/>
  </r>
  <r>
    <n v="66092"/>
    <x v="0"/>
    <x v="41"/>
    <n v="158.66999999999999"/>
    <n v="10"/>
    <n v="1586.7"/>
    <x v="358"/>
    <x v="343"/>
  </r>
  <r>
    <n v="12555"/>
    <x v="9"/>
    <x v="21"/>
    <n v="534.77"/>
    <n v="34"/>
    <n v="18182.18"/>
    <x v="359"/>
    <x v="6"/>
  </r>
  <r>
    <n v="81085"/>
    <x v="10"/>
    <x v="18"/>
    <n v="617.33000000000004"/>
    <n v="42"/>
    <n v="25927.86"/>
    <x v="360"/>
    <x v="344"/>
  </r>
  <r>
    <n v="66246"/>
    <x v="1"/>
    <x v="32"/>
    <n v="184.57"/>
    <n v="6"/>
    <n v="1107.42"/>
    <x v="361"/>
    <x v="345"/>
  </r>
  <r>
    <n v="36177"/>
    <x v="2"/>
    <x v="25"/>
    <n v="972.24"/>
    <n v="29"/>
    <n v="28194.959999999999"/>
    <x v="362"/>
    <x v="346"/>
  </r>
  <r>
    <n v="20151"/>
    <x v="9"/>
    <x v="5"/>
    <n v="622.16"/>
    <n v="5"/>
    <n v="3110.8"/>
    <x v="86"/>
    <x v="347"/>
  </r>
  <r>
    <n v="52020"/>
    <x v="12"/>
    <x v="38"/>
    <n v="45.72"/>
    <n v="17"/>
    <n v="777.24"/>
    <x v="258"/>
    <x v="348"/>
  </r>
  <r>
    <n v="73066"/>
    <x v="8"/>
    <x v="12"/>
    <n v="875.47"/>
    <n v="44"/>
    <n v="38520.68"/>
    <x v="345"/>
    <x v="30"/>
  </r>
  <r>
    <n v="65142"/>
    <x v="5"/>
    <x v="11"/>
    <n v="988.47"/>
    <n v="45"/>
    <n v="44481.15"/>
    <x v="363"/>
    <x v="129"/>
  </r>
  <r>
    <n v="12104"/>
    <x v="16"/>
    <x v="7"/>
    <n v="101.12"/>
    <n v="47"/>
    <n v="4752.6400000000003"/>
    <x v="269"/>
    <x v="174"/>
  </r>
  <r>
    <n v="89560"/>
    <x v="6"/>
    <x v="16"/>
    <n v="654.4"/>
    <n v="34"/>
    <n v="22249.599999999999"/>
    <x v="53"/>
    <x v="349"/>
  </r>
  <r>
    <n v="20982"/>
    <x v="7"/>
    <x v="24"/>
    <n v="323.73"/>
    <n v="19"/>
    <n v="6150.87"/>
    <x v="364"/>
    <x v="70"/>
  </r>
  <r>
    <n v="60668"/>
    <x v="8"/>
    <x v="29"/>
    <n v="404.9"/>
    <n v="50"/>
    <n v="20245"/>
    <x v="365"/>
    <x v="171"/>
  </r>
  <r>
    <n v="35124"/>
    <x v="0"/>
    <x v="13"/>
    <n v="110.41"/>
    <n v="45"/>
    <n v="4968.45"/>
    <x v="223"/>
    <x v="350"/>
  </r>
  <r>
    <n v="70560"/>
    <x v="11"/>
    <x v="23"/>
    <n v="533.15"/>
    <n v="8"/>
    <n v="4265.2"/>
    <x v="366"/>
    <x v="351"/>
  </r>
  <r>
    <n v="73011"/>
    <x v="18"/>
    <x v="49"/>
    <n v="761.92"/>
    <n v="41"/>
    <n v="31238.720000000001"/>
    <x v="260"/>
    <x v="168"/>
  </r>
  <r>
    <n v="51003"/>
    <x v="4"/>
    <x v="37"/>
    <n v="753.12"/>
    <n v="21"/>
    <n v="15815.52"/>
    <x v="263"/>
    <x v="352"/>
  </r>
  <r>
    <n v="34678"/>
    <x v="10"/>
    <x v="23"/>
    <n v="533.15"/>
    <n v="41"/>
    <n v="21859.15"/>
    <x v="316"/>
    <x v="353"/>
  </r>
  <r>
    <n v="15379"/>
    <x v="18"/>
    <x v="40"/>
    <n v="795.19"/>
    <n v="11"/>
    <n v="8747.09"/>
    <x v="367"/>
    <x v="354"/>
  </r>
  <r>
    <n v="99485"/>
    <x v="11"/>
    <x v="48"/>
    <n v="95.12"/>
    <n v="23"/>
    <n v="2187.7600000000002"/>
    <x v="368"/>
    <x v="355"/>
  </r>
  <r>
    <n v="36461"/>
    <x v="13"/>
    <x v="46"/>
    <n v="346.4"/>
    <n v="44"/>
    <n v="15241.6"/>
    <x v="192"/>
    <x v="356"/>
  </r>
  <r>
    <n v="94462"/>
    <x v="9"/>
    <x v="6"/>
    <n v="222.47"/>
    <n v="19"/>
    <n v="4226.93"/>
    <x v="369"/>
    <x v="357"/>
  </r>
  <r>
    <n v="75833"/>
    <x v="10"/>
    <x v="28"/>
    <n v="641.34"/>
    <n v="39"/>
    <n v="25012.26"/>
    <x v="48"/>
    <x v="358"/>
  </r>
  <r>
    <n v="46503"/>
    <x v="10"/>
    <x v="46"/>
    <n v="346.4"/>
    <n v="39"/>
    <n v="13509.6"/>
    <x v="370"/>
    <x v="359"/>
  </r>
  <r>
    <n v="63020"/>
    <x v="15"/>
    <x v="13"/>
    <n v="110.41"/>
    <n v="38"/>
    <n v="4195.58"/>
    <x v="371"/>
    <x v="360"/>
  </r>
  <r>
    <n v="96140"/>
    <x v="10"/>
    <x v="14"/>
    <n v="112.52"/>
    <n v="8"/>
    <n v="900.16"/>
    <x v="282"/>
    <x v="361"/>
  </r>
  <r>
    <n v="64636"/>
    <x v="9"/>
    <x v="40"/>
    <n v="795.19"/>
    <n v="12"/>
    <n v="9542.2800000000007"/>
    <x v="372"/>
    <x v="209"/>
  </r>
  <r>
    <n v="28027"/>
    <x v="17"/>
    <x v="46"/>
    <n v="346.4"/>
    <n v="35"/>
    <n v="12124"/>
    <x v="10"/>
    <x v="362"/>
  </r>
  <r>
    <n v="31989"/>
    <x v="0"/>
    <x v="30"/>
    <n v="988.73"/>
    <n v="5"/>
    <n v="4943.6499999999996"/>
    <x v="347"/>
    <x v="363"/>
  </r>
  <r>
    <n v="23526"/>
    <x v="7"/>
    <x v="33"/>
    <n v="705.68"/>
    <n v="26"/>
    <n v="18347.68"/>
    <x v="373"/>
    <x v="91"/>
  </r>
  <r>
    <n v="33463"/>
    <x v="6"/>
    <x v="8"/>
    <n v="596.97"/>
    <n v="46"/>
    <n v="27460.62"/>
    <x v="374"/>
    <x v="215"/>
  </r>
  <r>
    <n v="83546"/>
    <x v="16"/>
    <x v="43"/>
    <n v="870.6"/>
    <n v="49"/>
    <n v="42659.4"/>
    <x v="375"/>
    <x v="285"/>
  </r>
  <r>
    <n v="96843"/>
    <x v="3"/>
    <x v="24"/>
    <n v="323.73"/>
    <n v="24"/>
    <n v="7769.52"/>
    <x v="53"/>
    <x v="364"/>
  </r>
  <r>
    <n v="71926"/>
    <x v="4"/>
    <x v="49"/>
    <n v="761.92"/>
    <n v="31"/>
    <n v="23619.52"/>
    <x v="0"/>
    <x v="192"/>
  </r>
  <r>
    <n v="67458"/>
    <x v="7"/>
    <x v="6"/>
    <n v="222.47"/>
    <n v="12"/>
    <n v="2669.64"/>
    <x v="93"/>
    <x v="365"/>
  </r>
  <r>
    <n v="51883"/>
    <x v="7"/>
    <x v="43"/>
    <n v="870.6"/>
    <n v="3"/>
    <n v="2611.8000000000002"/>
    <x v="376"/>
    <x v="343"/>
  </r>
  <r>
    <n v="62870"/>
    <x v="7"/>
    <x v="3"/>
    <n v="449.74"/>
    <n v="43"/>
    <n v="19338.82"/>
    <x v="377"/>
    <x v="366"/>
  </r>
  <r>
    <n v="78806"/>
    <x v="8"/>
    <x v="47"/>
    <n v="325"/>
    <n v="19"/>
    <n v="6175"/>
    <x v="323"/>
    <x v="321"/>
  </r>
  <r>
    <n v="99307"/>
    <x v="16"/>
    <x v="23"/>
    <n v="533.15"/>
    <n v="19"/>
    <n v="10129.85"/>
    <x v="21"/>
    <x v="58"/>
  </r>
  <r>
    <n v="21577"/>
    <x v="9"/>
    <x v="34"/>
    <n v="474.55"/>
    <n v="25"/>
    <n v="11863.75"/>
    <x v="295"/>
    <x v="315"/>
  </r>
  <r>
    <n v="71922"/>
    <x v="14"/>
    <x v="40"/>
    <n v="795.19"/>
    <n v="1"/>
    <n v="795.19"/>
    <x v="378"/>
    <x v="367"/>
  </r>
  <r>
    <n v="10449"/>
    <x v="17"/>
    <x v="21"/>
    <n v="534.77"/>
    <n v="25"/>
    <n v="13369.25"/>
    <x v="189"/>
    <x v="117"/>
  </r>
  <r>
    <n v="78598"/>
    <x v="1"/>
    <x v="15"/>
    <n v="608.37"/>
    <n v="49"/>
    <n v="29810.13"/>
    <x v="379"/>
    <x v="368"/>
  </r>
  <r>
    <n v="18228"/>
    <x v="18"/>
    <x v="5"/>
    <n v="622.16"/>
    <n v="10"/>
    <n v="6221.6"/>
    <x v="277"/>
    <x v="179"/>
  </r>
  <r>
    <n v="20968"/>
    <x v="1"/>
    <x v="22"/>
    <n v="468.95"/>
    <n v="36"/>
    <n v="16882.2"/>
    <x v="380"/>
    <x v="47"/>
  </r>
  <r>
    <n v="32933"/>
    <x v="14"/>
    <x v="10"/>
    <n v="233.83"/>
    <n v="16"/>
    <n v="3741.28"/>
    <x v="162"/>
    <x v="369"/>
  </r>
  <r>
    <n v="80420"/>
    <x v="1"/>
    <x v="29"/>
    <n v="404.9"/>
    <n v="32"/>
    <n v="12956.8"/>
    <x v="381"/>
    <x v="211"/>
  </r>
  <r>
    <n v="98149"/>
    <x v="4"/>
    <x v="20"/>
    <n v="93.68"/>
    <n v="41"/>
    <n v="3840.88"/>
    <x v="82"/>
    <x v="370"/>
  </r>
  <r>
    <n v="74914"/>
    <x v="3"/>
    <x v="26"/>
    <n v="730.09"/>
    <n v="34"/>
    <n v="24823.06"/>
    <x v="382"/>
    <x v="156"/>
  </r>
  <r>
    <n v="68140"/>
    <x v="9"/>
    <x v="41"/>
    <n v="158.66999999999999"/>
    <n v="34"/>
    <n v="5394.78"/>
    <x v="383"/>
    <x v="289"/>
  </r>
  <r>
    <n v="62151"/>
    <x v="12"/>
    <x v="27"/>
    <n v="399.32"/>
    <n v="48"/>
    <n v="19167.36"/>
    <x v="384"/>
    <x v="280"/>
  </r>
  <r>
    <n v="35961"/>
    <x v="8"/>
    <x v="18"/>
    <n v="617.33000000000004"/>
    <n v="22"/>
    <n v="13581.26"/>
    <x v="285"/>
    <x v="371"/>
  </r>
  <r>
    <n v="35469"/>
    <x v="1"/>
    <x v="34"/>
    <n v="474.55"/>
    <n v="23"/>
    <n v="10914.65"/>
    <x v="245"/>
    <x v="123"/>
  </r>
  <r>
    <n v="65088"/>
    <x v="5"/>
    <x v="46"/>
    <n v="346.4"/>
    <n v="40"/>
    <n v="13856"/>
    <x v="358"/>
    <x v="131"/>
  </r>
  <r>
    <n v="51864"/>
    <x v="9"/>
    <x v="29"/>
    <n v="404.9"/>
    <n v="17"/>
    <n v="6883.3"/>
    <x v="385"/>
    <x v="99"/>
  </r>
  <r>
    <n v="16875"/>
    <x v="0"/>
    <x v="47"/>
    <n v="325"/>
    <n v="22"/>
    <n v="7150"/>
    <x v="386"/>
    <x v="141"/>
  </r>
  <r>
    <n v="17309"/>
    <x v="18"/>
    <x v="4"/>
    <n v="546.64"/>
    <n v="35"/>
    <n v="19132.400000000001"/>
    <x v="387"/>
    <x v="329"/>
  </r>
  <r>
    <n v="14625"/>
    <x v="2"/>
    <x v="6"/>
    <n v="222.47"/>
    <n v="44"/>
    <n v="9788.68"/>
    <x v="388"/>
    <x v="110"/>
  </r>
  <r>
    <n v="58892"/>
    <x v="17"/>
    <x v="48"/>
    <n v="95.12"/>
    <n v="39"/>
    <n v="3709.68"/>
    <x v="389"/>
    <x v="372"/>
  </r>
  <r>
    <n v="18780"/>
    <x v="16"/>
    <x v="15"/>
    <n v="608.37"/>
    <n v="50"/>
    <n v="30418.5"/>
    <x v="381"/>
    <x v="29"/>
  </r>
  <r>
    <n v="97035"/>
    <x v="1"/>
    <x v="31"/>
    <n v="346.37"/>
    <n v="13"/>
    <n v="4502.8100000000004"/>
    <x v="301"/>
    <x v="215"/>
  </r>
  <r>
    <n v="22654"/>
    <x v="2"/>
    <x v="5"/>
    <n v="622.16"/>
    <n v="6"/>
    <n v="3732.96"/>
    <x v="373"/>
    <x v="6"/>
  </r>
  <r>
    <n v="65309"/>
    <x v="0"/>
    <x v="46"/>
    <n v="346.4"/>
    <n v="43"/>
    <n v="14895.2"/>
    <x v="68"/>
    <x v="373"/>
  </r>
  <r>
    <n v="69121"/>
    <x v="13"/>
    <x v="3"/>
    <n v="449.74"/>
    <n v="4"/>
    <n v="1798.96"/>
    <x v="139"/>
    <x v="317"/>
  </r>
  <r>
    <n v="73078"/>
    <x v="13"/>
    <x v="47"/>
    <n v="325"/>
    <n v="17"/>
    <n v="5525"/>
    <x v="244"/>
    <x v="374"/>
  </r>
  <r>
    <n v="74790"/>
    <x v="19"/>
    <x v="18"/>
    <n v="617.33000000000004"/>
    <n v="35"/>
    <n v="21606.55"/>
    <x v="244"/>
    <x v="353"/>
  </r>
  <r>
    <n v="62853"/>
    <x v="1"/>
    <x v="17"/>
    <n v="366.3"/>
    <n v="49"/>
    <n v="17948.7"/>
    <x v="74"/>
    <x v="46"/>
  </r>
  <r>
    <n v="51956"/>
    <x v="5"/>
    <x v="16"/>
    <n v="654.4"/>
    <n v="37"/>
    <n v="24212.799999999999"/>
    <x v="390"/>
    <x v="353"/>
  </r>
  <r>
    <n v="98342"/>
    <x v="5"/>
    <x v="30"/>
    <n v="988.73"/>
    <n v="39"/>
    <n v="38560.47"/>
    <x v="375"/>
    <x v="164"/>
  </r>
  <r>
    <n v="36409"/>
    <x v="19"/>
    <x v="23"/>
    <n v="533.15"/>
    <n v="12"/>
    <n v="6397.8"/>
    <x v="128"/>
    <x v="143"/>
  </r>
  <r>
    <n v="49913"/>
    <x v="5"/>
    <x v="15"/>
    <n v="608.37"/>
    <n v="18"/>
    <n v="10950.66"/>
    <x v="391"/>
    <x v="310"/>
  </r>
  <r>
    <n v="77108"/>
    <x v="12"/>
    <x v="31"/>
    <n v="346.37"/>
    <n v="12"/>
    <n v="4156.4399999999996"/>
    <x v="82"/>
    <x v="205"/>
  </r>
  <r>
    <n v="24518"/>
    <x v="5"/>
    <x v="39"/>
    <n v="402.36"/>
    <n v="1"/>
    <n v="402.36"/>
    <x v="100"/>
    <x v="375"/>
  </r>
  <r>
    <n v="10648"/>
    <x v="0"/>
    <x v="38"/>
    <n v="45.72"/>
    <n v="45"/>
    <n v="2057.4"/>
    <x v="392"/>
    <x v="376"/>
  </r>
  <r>
    <n v="98637"/>
    <x v="0"/>
    <x v="43"/>
    <n v="870.6"/>
    <n v="23"/>
    <n v="20023.8"/>
    <x v="55"/>
    <x v="377"/>
  </r>
  <r>
    <n v="24376"/>
    <x v="10"/>
    <x v="5"/>
    <n v="622.16"/>
    <n v="7"/>
    <n v="4355.12"/>
    <x v="308"/>
    <x v="16"/>
  </r>
  <r>
    <n v="13757"/>
    <x v="19"/>
    <x v="8"/>
    <n v="596.97"/>
    <n v="35"/>
    <n v="20893.95"/>
    <x v="53"/>
    <x v="279"/>
  </r>
  <r>
    <n v="11699"/>
    <x v="8"/>
    <x v="23"/>
    <n v="533.15"/>
    <n v="21"/>
    <n v="11196.15"/>
    <x v="393"/>
    <x v="275"/>
  </r>
  <r>
    <n v="16451"/>
    <x v="8"/>
    <x v="11"/>
    <n v="988.47"/>
    <n v="16"/>
    <n v="15815.52"/>
    <x v="91"/>
    <x v="378"/>
  </r>
  <r>
    <n v="76599"/>
    <x v="15"/>
    <x v="27"/>
    <n v="399.32"/>
    <n v="32"/>
    <n v="12778.24"/>
    <x v="199"/>
    <x v="379"/>
  </r>
  <r>
    <n v="79233"/>
    <x v="8"/>
    <x v="3"/>
    <n v="449.74"/>
    <n v="4"/>
    <n v="1798.96"/>
    <x v="84"/>
    <x v="139"/>
  </r>
  <r>
    <n v="63000"/>
    <x v="1"/>
    <x v="13"/>
    <n v="110.41"/>
    <n v="42"/>
    <n v="4637.22"/>
    <x v="394"/>
    <x v="60"/>
  </r>
  <r>
    <n v="88691"/>
    <x v="19"/>
    <x v="17"/>
    <n v="366.3"/>
    <n v="1"/>
    <n v="366.3"/>
    <x v="234"/>
    <x v="380"/>
  </r>
  <r>
    <n v="41989"/>
    <x v="18"/>
    <x v="41"/>
    <n v="158.66999999999999"/>
    <n v="2"/>
    <n v="317.33999999999997"/>
    <x v="395"/>
    <x v="381"/>
  </r>
  <r>
    <n v="12483"/>
    <x v="8"/>
    <x v="14"/>
    <n v="112.52"/>
    <n v="19"/>
    <n v="2137.88"/>
    <x v="396"/>
    <x v="81"/>
  </r>
  <r>
    <n v="29894"/>
    <x v="19"/>
    <x v="26"/>
    <n v="730.09"/>
    <n v="25"/>
    <n v="18252.25"/>
    <x v="397"/>
    <x v="382"/>
  </r>
  <r>
    <n v="57631"/>
    <x v="9"/>
    <x v="35"/>
    <n v="611.66"/>
    <n v="15"/>
    <n v="9174.9"/>
    <x v="296"/>
    <x v="383"/>
  </r>
  <r>
    <n v="12359"/>
    <x v="9"/>
    <x v="1"/>
    <n v="683.98"/>
    <n v="37"/>
    <n v="25307.26"/>
    <x v="33"/>
    <x v="384"/>
  </r>
  <r>
    <n v="41479"/>
    <x v="3"/>
    <x v="21"/>
    <n v="534.77"/>
    <n v="43"/>
    <n v="22995.11"/>
    <x v="374"/>
    <x v="385"/>
  </r>
  <r>
    <n v="84060"/>
    <x v="12"/>
    <x v="19"/>
    <n v="682.74"/>
    <n v="27"/>
    <n v="18433.98"/>
    <x v="246"/>
    <x v="228"/>
  </r>
  <r>
    <n v="30624"/>
    <x v="1"/>
    <x v="22"/>
    <n v="468.95"/>
    <n v="40"/>
    <n v="18758"/>
    <x v="398"/>
    <x v="207"/>
  </r>
  <r>
    <n v="18504"/>
    <x v="0"/>
    <x v="44"/>
    <n v="913.18"/>
    <n v="3"/>
    <n v="2739.54"/>
    <x v="3"/>
    <x v="306"/>
  </r>
  <r>
    <n v="38680"/>
    <x v="17"/>
    <x v="6"/>
    <n v="222.47"/>
    <n v="17"/>
    <n v="3781.99"/>
    <x v="399"/>
    <x v="386"/>
  </r>
  <r>
    <n v="98401"/>
    <x v="18"/>
    <x v="3"/>
    <n v="449.74"/>
    <n v="48"/>
    <n v="21587.52"/>
    <x v="400"/>
    <x v="136"/>
  </r>
  <r>
    <n v="64022"/>
    <x v="13"/>
    <x v="39"/>
    <n v="402.36"/>
    <n v="13"/>
    <n v="5230.68"/>
    <x v="78"/>
    <x v="322"/>
  </r>
  <r>
    <n v="41586"/>
    <x v="7"/>
    <x v="34"/>
    <n v="474.55"/>
    <n v="30"/>
    <n v="14236.5"/>
    <x v="243"/>
    <x v="321"/>
  </r>
  <r>
    <n v="10173"/>
    <x v="3"/>
    <x v="49"/>
    <n v="761.92"/>
    <n v="13"/>
    <n v="9904.9599999999991"/>
    <x v="388"/>
    <x v="320"/>
  </r>
  <r>
    <n v="96389"/>
    <x v="5"/>
    <x v="38"/>
    <n v="45.72"/>
    <n v="49"/>
    <n v="2240.2800000000002"/>
    <x v="113"/>
    <x v="184"/>
  </r>
  <r>
    <n v="10730"/>
    <x v="7"/>
    <x v="0"/>
    <n v="855.99"/>
    <n v="11"/>
    <n v="9415.89"/>
    <x v="401"/>
    <x v="387"/>
  </r>
  <r>
    <n v="92176"/>
    <x v="2"/>
    <x v="31"/>
    <n v="346.37"/>
    <n v="49"/>
    <n v="16972.13"/>
    <x v="5"/>
    <x v="362"/>
  </r>
  <r>
    <n v="92600"/>
    <x v="4"/>
    <x v="47"/>
    <n v="325"/>
    <n v="41"/>
    <n v="13325"/>
    <x v="60"/>
    <x v="388"/>
  </r>
  <r>
    <n v="93520"/>
    <x v="18"/>
    <x v="25"/>
    <n v="972.24"/>
    <n v="24"/>
    <n v="23333.759999999998"/>
    <x v="9"/>
    <x v="389"/>
  </r>
  <r>
    <n v="56052"/>
    <x v="1"/>
    <x v="2"/>
    <n v="68.05"/>
    <n v="14"/>
    <n v="952.7"/>
    <x v="384"/>
    <x v="74"/>
  </r>
  <r>
    <n v="37267"/>
    <x v="15"/>
    <x v="9"/>
    <n v="796.94"/>
    <n v="19"/>
    <n v="15141.86"/>
    <x v="402"/>
    <x v="390"/>
  </r>
  <r>
    <n v="29056"/>
    <x v="11"/>
    <x v="2"/>
    <n v="68.05"/>
    <n v="40"/>
    <n v="2722"/>
    <x v="238"/>
    <x v="391"/>
  </r>
  <r>
    <n v="35567"/>
    <x v="8"/>
    <x v="39"/>
    <n v="402.36"/>
    <n v="15"/>
    <n v="6035.4"/>
    <x v="176"/>
    <x v="392"/>
  </r>
  <r>
    <n v="62210"/>
    <x v="6"/>
    <x v="2"/>
    <n v="68.05"/>
    <n v="16"/>
    <n v="1088.8"/>
    <x v="194"/>
    <x v="393"/>
  </r>
  <r>
    <n v="58446"/>
    <x v="4"/>
    <x v="16"/>
    <n v="654.4"/>
    <n v="7"/>
    <n v="4580.8"/>
    <x v="280"/>
    <x v="394"/>
  </r>
  <r>
    <n v="69502"/>
    <x v="15"/>
    <x v="10"/>
    <n v="233.83"/>
    <n v="4"/>
    <n v="935.32"/>
    <x v="248"/>
    <x v="395"/>
  </r>
  <r>
    <n v="36132"/>
    <x v="2"/>
    <x v="22"/>
    <n v="468.95"/>
    <n v="21"/>
    <n v="9847.9500000000007"/>
    <x v="403"/>
    <x v="64"/>
  </r>
  <r>
    <n v="14456"/>
    <x v="15"/>
    <x v="7"/>
    <n v="101.12"/>
    <n v="16"/>
    <n v="1617.92"/>
    <x v="404"/>
    <x v="35"/>
  </r>
  <r>
    <n v="73470"/>
    <x v="18"/>
    <x v="40"/>
    <n v="795.19"/>
    <n v="6"/>
    <n v="4771.1400000000003"/>
    <x v="288"/>
    <x v="43"/>
  </r>
  <r>
    <n v="79615"/>
    <x v="15"/>
    <x v="28"/>
    <n v="641.34"/>
    <n v="11"/>
    <n v="7054.74"/>
    <x v="186"/>
    <x v="299"/>
  </r>
  <r>
    <n v="89557"/>
    <x v="16"/>
    <x v="30"/>
    <n v="988.73"/>
    <n v="7"/>
    <n v="6921.11"/>
    <x v="405"/>
    <x v="321"/>
  </r>
  <r>
    <n v="19883"/>
    <x v="12"/>
    <x v="46"/>
    <n v="346.4"/>
    <n v="37"/>
    <n v="12816.8"/>
    <x v="99"/>
    <x v="396"/>
  </r>
  <r>
    <n v="17751"/>
    <x v="3"/>
    <x v="16"/>
    <n v="654.4"/>
    <n v="29"/>
    <n v="18977.599999999999"/>
    <x v="299"/>
    <x v="397"/>
  </r>
  <r>
    <n v="31326"/>
    <x v="11"/>
    <x v="38"/>
    <n v="45.72"/>
    <n v="48"/>
    <n v="2194.56"/>
    <x v="129"/>
    <x v="243"/>
  </r>
  <r>
    <n v="37746"/>
    <x v="1"/>
    <x v="48"/>
    <n v="95.12"/>
    <n v="16"/>
    <n v="1521.92"/>
    <x v="324"/>
    <x v="398"/>
  </r>
  <r>
    <n v="59739"/>
    <x v="13"/>
    <x v="34"/>
    <n v="474.55"/>
    <n v="21"/>
    <n v="9965.5499999999993"/>
    <x v="189"/>
    <x v="399"/>
  </r>
  <r>
    <n v="63075"/>
    <x v="17"/>
    <x v="47"/>
    <n v="325"/>
    <n v="35"/>
    <n v="11375"/>
    <x v="376"/>
    <x v="400"/>
  </r>
  <r>
    <n v="31392"/>
    <x v="1"/>
    <x v="5"/>
    <n v="622.16"/>
    <n v="38"/>
    <n v="23642.080000000002"/>
    <x v="42"/>
    <x v="335"/>
  </r>
  <r>
    <n v="55213"/>
    <x v="6"/>
    <x v="2"/>
    <n v="68.05"/>
    <n v="36"/>
    <n v="2449.8000000000002"/>
    <x v="254"/>
    <x v="401"/>
  </r>
  <r>
    <n v="88648"/>
    <x v="12"/>
    <x v="22"/>
    <n v="468.95"/>
    <n v="39"/>
    <n v="18289.05"/>
    <x v="227"/>
    <x v="402"/>
  </r>
  <r>
    <n v="35976"/>
    <x v="12"/>
    <x v="15"/>
    <n v="608.37"/>
    <n v="7"/>
    <n v="4258.59"/>
    <x v="406"/>
    <x v="403"/>
  </r>
  <r>
    <n v="69146"/>
    <x v="3"/>
    <x v="21"/>
    <n v="534.77"/>
    <n v="5"/>
    <n v="2673.85"/>
    <x v="407"/>
    <x v="404"/>
  </r>
  <r>
    <n v="12370"/>
    <x v="13"/>
    <x v="5"/>
    <n v="622.16"/>
    <n v="16"/>
    <n v="9954.56"/>
    <x v="255"/>
    <x v="64"/>
  </r>
  <r>
    <n v="11481"/>
    <x v="18"/>
    <x v="0"/>
    <n v="855.99"/>
    <n v="17"/>
    <n v="14551.83"/>
    <x v="230"/>
    <x v="378"/>
  </r>
  <r>
    <n v="68090"/>
    <x v="14"/>
    <x v="16"/>
    <n v="654.4"/>
    <n v="17"/>
    <n v="11124.8"/>
    <x v="117"/>
    <x v="405"/>
  </r>
  <r>
    <n v="45663"/>
    <x v="12"/>
    <x v="41"/>
    <n v="158.66999999999999"/>
    <n v="4"/>
    <n v="634.67999999999995"/>
    <x v="408"/>
    <x v="406"/>
  </r>
  <r>
    <n v="77691"/>
    <x v="18"/>
    <x v="12"/>
    <n v="875.47"/>
    <n v="46"/>
    <n v="40271.620000000003"/>
    <x v="350"/>
    <x v="246"/>
  </r>
  <r>
    <n v="65922"/>
    <x v="13"/>
    <x v="2"/>
    <n v="68.05"/>
    <n v="19"/>
    <n v="1292.95"/>
    <x v="409"/>
    <x v="407"/>
  </r>
  <r>
    <n v="75782"/>
    <x v="2"/>
    <x v="18"/>
    <n v="617.33000000000004"/>
    <n v="23"/>
    <n v="14198.59"/>
    <x v="251"/>
    <x v="179"/>
  </r>
  <r>
    <n v="19084"/>
    <x v="10"/>
    <x v="14"/>
    <n v="112.52"/>
    <n v="49"/>
    <n v="5513.48"/>
    <x v="198"/>
    <x v="287"/>
  </r>
  <r>
    <n v="46593"/>
    <x v="3"/>
    <x v="23"/>
    <n v="533.15"/>
    <n v="35"/>
    <n v="18660.25"/>
    <x v="253"/>
    <x v="408"/>
  </r>
  <r>
    <n v="47976"/>
    <x v="17"/>
    <x v="39"/>
    <n v="402.36"/>
    <n v="5"/>
    <n v="2011.8"/>
    <x v="410"/>
    <x v="409"/>
  </r>
  <r>
    <n v="82291"/>
    <x v="18"/>
    <x v="28"/>
    <n v="641.34"/>
    <n v="20"/>
    <n v="12826.8"/>
    <x v="350"/>
    <x v="410"/>
  </r>
  <r>
    <n v="21347"/>
    <x v="14"/>
    <x v="29"/>
    <n v="404.9"/>
    <n v="37"/>
    <n v="14981.3"/>
    <x v="411"/>
    <x v="411"/>
  </r>
  <r>
    <n v="43786"/>
    <x v="3"/>
    <x v="2"/>
    <n v="68.05"/>
    <n v="32"/>
    <n v="2177.6"/>
    <x v="412"/>
    <x v="363"/>
  </r>
  <r>
    <n v="47246"/>
    <x v="6"/>
    <x v="27"/>
    <n v="399.32"/>
    <n v="50"/>
    <n v="19966"/>
    <x v="413"/>
    <x v="412"/>
  </r>
  <r>
    <n v="33207"/>
    <x v="17"/>
    <x v="6"/>
    <n v="222.47"/>
    <n v="10"/>
    <n v="2224.6999999999998"/>
    <x v="162"/>
    <x v="384"/>
  </r>
  <r>
    <n v="48355"/>
    <x v="5"/>
    <x v="10"/>
    <n v="233.83"/>
    <n v="44"/>
    <n v="10288.52"/>
    <x v="118"/>
    <x v="413"/>
  </r>
  <r>
    <n v="20335"/>
    <x v="3"/>
    <x v="45"/>
    <n v="890.84"/>
    <n v="27"/>
    <n v="24052.68"/>
    <x v="199"/>
    <x v="381"/>
  </r>
  <r>
    <n v="81937"/>
    <x v="3"/>
    <x v="37"/>
    <n v="753.12"/>
    <n v="23"/>
    <n v="17321.759999999998"/>
    <x v="79"/>
    <x v="414"/>
  </r>
  <r>
    <n v="40612"/>
    <x v="16"/>
    <x v="25"/>
    <n v="972.24"/>
    <n v="30"/>
    <n v="29167.200000000001"/>
    <x v="360"/>
    <x v="115"/>
  </r>
  <r>
    <n v="70060"/>
    <x v="18"/>
    <x v="29"/>
    <n v="404.9"/>
    <n v="39"/>
    <n v="15791.1"/>
    <x v="153"/>
    <x v="294"/>
  </r>
  <r>
    <n v="30901"/>
    <x v="0"/>
    <x v="49"/>
    <n v="761.92"/>
    <n v="40"/>
    <n v="30476.799999999999"/>
    <x v="306"/>
    <x v="272"/>
  </r>
  <r>
    <n v="99355"/>
    <x v="2"/>
    <x v="23"/>
    <n v="533.15"/>
    <n v="27"/>
    <n v="14395.05"/>
    <x v="342"/>
    <x v="345"/>
  </r>
  <r>
    <n v="15042"/>
    <x v="13"/>
    <x v="45"/>
    <n v="890.84"/>
    <n v="3"/>
    <n v="2672.52"/>
    <x v="57"/>
    <x v="109"/>
  </r>
  <r>
    <n v="83870"/>
    <x v="4"/>
    <x v="2"/>
    <n v="68.05"/>
    <n v="38"/>
    <n v="2585.9"/>
    <x v="222"/>
    <x v="361"/>
  </r>
  <r>
    <n v="26689"/>
    <x v="19"/>
    <x v="44"/>
    <n v="913.18"/>
    <n v="7"/>
    <n v="6392.26"/>
    <x v="414"/>
    <x v="415"/>
  </r>
  <r>
    <n v="48494"/>
    <x v="15"/>
    <x v="21"/>
    <n v="534.77"/>
    <n v="37"/>
    <n v="19786.490000000002"/>
    <x v="415"/>
    <x v="416"/>
  </r>
  <r>
    <n v="46602"/>
    <x v="5"/>
    <x v="38"/>
    <n v="45.72"/>
    <n v="19"/>
    <n v="868.68"/>
    <x v="416"/>
    <x v="415"/>
  </r>
  <r>
    <n v="30025"/>
    <x v="18"/>
    <x v="39"/>
    <n v="402.36"/>
    <n v="17"/>
    <n v="6840.12"/>
    <x v="55"/>
    <x v="94"/>
  </r>
  <r>
    <n v="88946"/>
    <x v="9"/>
    <x v="37"/>
    <n v="753.12"/>
    <n v="33"/>
    <n v="24852.959999999999"/>
    <x v="281"/>
    <x v="255"/>
  </r>
  <r>
    <n v="77195"/>
    <x v="17"/>
    <x v="30"/>
    <n v="988.73"/>
    <n v="43"/>
    <n v="42515.39"/>
    <x v="287"/>
    <x v="182"/>
  </r>
  <r>
    <n v="98351"/>
    <x v="1"/>
    <x v="6"/>
    <n v="222.47"/>
    <n v="13"/>
    <n v="2892.11"/>
    <x v="417"/>
    <x v="129"/>
  </r>
  <r>
    <n v="54045"/>
    <x v="17"/>
    <x v="10"/>
    <n v="233.83"/>
    <n v="29"/>
    <n v="6781.07"/>
    <x v="408"/>
    <x v="211"/>
  </r>
  <r>
    <n v="65808"/>
    <x v="18"/>
    <x v="6"/>
    <n v="222.47"/>
    <n v="29"/>
    <n v="6451.63"/>
    <x v="418"/>
    <x v="9"/>
  </r>
  <r>
    <n v="84286"/>
    <x v="14"/>
    <x v="41"/>
    <n v="158.66999999999999"/>
    <n v="3"/>
    <n v="476.01"/>
    <x v="133"/>
    <x v="279"/>
  </r>
  <r>
    <n v="15068"/>
    <x v="18"/>
    <x v="3"/>
    <n v="449.74"/>
    <n v="44"/>
    <n v="19788.560000000001"/>
    <x v="318"/>
    <x v="417"/>
  </r>
  <r>
    <n v="19121"/>
    <x v="13"/>
    <x v="44"/>
    <n v="913.18"/>
    <n v="8"/>
    <n v="7305.44"/>
    <x v="402"/>
    <x v="247"/>
  </r>
  <r>
    <n v="59405"/>
    <x v="15"/>
    <x v="11"/>
    <n v="988.47"/>
    <n v="24"/>
    <n v="23723.279999999999"/>
    <x v="419"/>
    <x v="63"/>
  </r>
  <r>
    <n v="21030"/>
    <x v="18"/>
    <x v="1"/>
    <n v="683.98"/>
    <n v="22"/>
    <n v="15047.56"/>
    <x v="232"/>
    <x v="105"/>
  </r>
  <r>
    <n v="49352"/>
    <x v="6"/>
    <x v="40"/>
    <n v="795.19"/>
    <n v="2"/>
    <n v="1590.38"/>
    <x v="353"/>
    <x v="418"/>
  </r>
  <r>
    <n v="41287"/>
    <x v="4"/>
    <x v="49"/>
    <n v="761.92"/>
    <n v="11"/>
    <n v="8381.1200000000008"/>
    <x v="286"/>
    <x v="1"/>
  </r>
  <r>
    <n v="64024"/>
    <x v="14"/>
    <x v="0"/>
    <n v="855.99"/>
    <n v="45"/>
    <n v="38519.550000000003"/>
    <x v="201"/>
    <x v="365"/>
  </r>
  <r>
    <n v="22739"/>
    <x v="19"/>
    <x v="15"/>
    <n v="608.37"/>
    <n v="34"/>
    <n v="20684.580000000002"/>
    <x v="420"/>
    <x v="301"/>
  </r>
  <r>
    <n v="92187"/>
    <x v="11"/>
    <x v="35"/>
    <n v="611.66"/>
    <n v="47"/>
    <n v="28748.02"/>
    <x v="310"/>
    <x v="216"/>
  </r>
  <r>
    <n v="29811"/>
    <x v="12"/>
    <x v="24"/>
    <n v="323.73"/>
    <n v="40"/>
    <n v="12949.2"/>
    <x v="302"/>
    <x v="268"/>
  </r>
  <r>
    <n v="62850"/>
    <x v="10"/>
    <x v="10"/>
    <n v="233.83"/>
    <n v="9"/>
    <n v="2104.4699999999998"/>
    <x v="210"/>
    <x v="331"/>
  </r>
  <r>
    <n v="51702"/>
    <x v="5"/>
    <x v="15"/>
    <n v="608.37"/>
    <n v="11"/>
    <n v="6692.07"/>
    <x v="421"/>
    <x v="307"/>
  </r>
  <r>
    <n v="74350"/>
    <x v="8"/>
    <x v="24"/>
    <n v="323.73"/>
    <n v="23"/>
    <n v="7445.79"/>
    <x v="422"/>
    <x v="419"/>
  </r>
  <r>
    <n v="70806"/>
    <x v="14"/>
    <x v="5"/>
    <n v="622.16"/>
    <n v="44"/>
    <n v="27375.040000000001"/>
    <x v="155"/>
    <x v="420"/>
  </r>
  <r>
    <n v="20114"/>
    <x v="11"/>
    <x v="22"/>
    <n v="468.95"/>
    <n v="18"/>
    <n v="8441.1"/>
    <x v="72"/>
    <x v="421"/>
  </r>
  <r>
    <n v="13617"/>
    <x v="4"/>
    <x v="31"/>
    <n v="346.37"/>
    <n v="13"/>
    <n v="4502.8100000000004"/>
    <x v="145"/>
    <x v="422"/>
  </r>
  <r>
    <n v="58180"/>
    <x v="13"/>
    <x v="4"/>
    <n v="546.64"/>
    <n v="27"/>
    <n v="14759.28"/>
    <x v="423"/>
    <x v="209"/>
  </r>
  <r>
    <n v="58942"/>
    <x v="6"/>
    <x v="16"/>
    <n v="654.4"/>
    <n v="8"/>
    <n v="5235.2"/>
    <x v="63"/>
    <x v="327"/>
  </r>
  <r>
    <n v="20372"/>
    <x v="0"/>
    <x v="11"/>
    <n v="988.47"/>
    <n v="29"/>
    <n v="28665.63"/>
    <x v="395"/>
    <x v="423"/>
  </r>
  <r>
    <n v="27339"/>
    <x v="10"/>
    <x v="19"/>
    <n v="682.74"/>
    <n v="22"/>
    <n v="15020.28"/>
    <x v="424"/>
    <x v="383"/>
  </r>
  <r>
    <n v="33745"/>
    <x v="4"/>
    <x v="17"/>
    <n v="366.3"/>
    <n v="30"/>
    <n v="10989"/>
    <x v="96"/>
    <x v="212"/>
  </r>
  <r>
    <n v="58350"/>
    <x v="3"/>
    <x v="2"/>
    <n v="68.05"/>
    <n v="28"/>
    <n v="1905.4"/>
    <x v="425"/>
    <x v="424"/>
  </r>
  <r>
    <n v="96331"/>
    <x v="12"/>
    <x v="43"/>
    <n v="870.6"/>
    <n v="31"/>
    <n v="26988.6"/>
    <x v="426"/>
    <x v="227"/>
  </r>
  <r>
    <n v="49065"/>
    <x v="14"/>
    <x v="48"/>
    <n v="95.12"/>
    <n v="17"/>
    <n v="1617.04"/>
    <x v="427"/>
    <x v="321"/>
  </r>
  <r>
    <n v="45773"/>
    <x v="19"/>
    <x v="15"/>
    <n v="608.37"/>
    <n v="36"/>
    <n v="21901.32"/>
    <x v="414"/>
    <x v="317"/>
  </r>
  <r>
    <n v="81667"/>
    <x v="13"/>
    <x v="21"/>
    <n v="534.77"/>
    <n v="27"/>
    <n v="14438.79"/>
    <x v="428"/>
    <x v="181"/>
  </r>
  <r>
    <n v="53978"/>
    <x v="16"/>
    <x v="8"/>
    <n v="596.97"/>
    <n v="18"/>
    <n v="10745.46"/>
    <x v="379"/>
    <x v="335"/>
  </r>
  <r>
    <n v="32418"/>
    <x v="11"/>
    <x v="8"/>
    <n v="596.97"/>
    <n v="42"/>
    <n v="25072.74"/>
    <x v="429"/>
    <x v="31"/>
  </r>
  <r>
    <n v="40043"/>
    <x v="16"/>
    <x v="32"/>
    <n v="184.57"/>
    <n v="48"/>
    <n v="8859.36"/>
    <x v="430"/>
    <x v="425"/>
  </r>
  <r>
    <n v="94719"/>
    <x v="3"/>
    <x v="24"/>
    <n v="323.73"/>
    <n v="11"/>
    <n v="3561.03"/>
    <x v="281"/>
    <x v="398"/>
  </r>
  <r>
    <n v="56906"/>
    <x v="16"/>
    <x v="24"/>
    <n v="323.73"/>
    <n v="12"/>
    <n v="3884.76"/>
    <x v="172"/>
    <x v="421"/>
  </r>
  <r>
    <n v="45322"/>
    <x v="9"/>
    <x v="1"/>
    <n v="683.98"/>
    <n v="20"/>
    <n v="13679.6"/>
    <x v="417"/>
    <x v="51"/>
  </r>
  <r>
    <n v="97959"/>
    <x v="13"/>
    <x v="43"/>
    <n v="870.6"/>
    <n v="18"/>
    <n v="15670.8"/>
    <x v="7"/>
    <x v="392"/>
  </r>
  <r>
    <n v="78096"/>
    <x v="17"/>
    <x v="8"/>
    <n v="596.97"/>
    <n v="34"/>
    <n v="20296.98"/>
    <x v="132"/>
    <x v="426"/>
  </r>
  <r>
    <n v="65753"/>
    <x v="1"/>
    <x v="21"/>
    <n v="534.77"/>
    <n v="43"/>
    <n v="22995.11"/>
    <x v="291"/>
    <x v="427"/>
  </r>
  <r>
    <n v="35064"/>
    <x v="9"/>
    <x v="42"/>
    <n v="430.1"/>
    <n v="4"/>
    <n v="1720.4"/>
    <x v="159"/>
    <x v="335"/>
  </r>
  <r>
    <n v="73638"/>
    <x v="12"/>
    <x v="47"/>
    <n v="325"/>
    <n v="10"/>
    <n v="3250"/>
    <x v="251"/>
    <x v="379"/>
  </r>
  <r>
    <n v="39629"/>
    <x v="2"/>
    <x v="10"/>
    <n v="233.83"/>
    <n v="44"/>
    <n v="10288.52"/>
    <x v="216"/>
    <x v="173"/>
  </r>
  <r>
    <n v="84337"/>
    <x v="8"/>
    <x v="39"/>
    <n v="402.36"/>
    <n v="24"/>
    <n v="9656.64"/>
    <x v="431"/>
    <x v="241"/>
  </r>
  <r>
    <n v="34854"/>
    <x v="9"/>
    <x v="22"/>
    <n v="468.95"/>
    <n v="4"/>
    <n v="1875.8"/>
    <x v="327"/>
    <x v="83"/>
  </r>
  <r>
    <n v="73411"/>
    <x v="9"/>
    <x v="46"/>
    <n v="346.4"/>
    <n v="32"/>
    <n v="11084.8"/>
    <x v="2"/>
    <x v="428"/>
  </r>
  <r>
    <n v="92046"/>
    <x v="10"/>
    <x v="34"/>
    <n v="474.55"/>
    <n v="17"/>
    <n v="8067.35"/>
    <x v="432"/>
    <x v="429"/>
  </r>
  <r>
    <n v="82902"/>
    <x v="16"/>
    <x v="8"/>
    <n v="596.97"/>
    <n v="44"/>
    <n v="26266.68"/>
    <x v="433"/>
    <x v="430"/>
  </r>
  <r>
    <n v="90994"/>
    <x v="2"/>
    <x v="42"/>
    <n v="430.1"/>
    <n v="29"/>
    <n v="12472.9"/>
    <x v="310"/>
    <x v="431"/>
  </r>
  <r>
    <n v="93148"/>
    <x v="3"/>
    <x v="39"/>
    <n v="402.36"/>
    <n v="33"/>
    <n v="13277.88"/>
    <x v="434"/>
    <x v="432"/>
  </r>
  <r>
    <n v="73554"/>
    <x v="18"/>
    <x v="26"/>
    <n v="730.09"/>
    <n v="32"/>
    <n v="23362.880000000001"/>
    <x v="319"/>
    <x v="32"/>
  </r>
  <r>
    <n v="19720"/>
    <x v="19"/>
    <x v="45"/>
    <n v="890.84"/>
    <n v="29"/>
    <n v="25834.36"/>
    <x v="21"/>
    <x v="174"/>
  </r>
  <r>
    <n v="45133"/>
    <x v="2"/>
    <x v="37"/>
    <n v="753.12"/>
    <n v="36"/>
    <n v="27112.32"/>
    <x v="435"/>
    <x v="231"/>
  </r>
  <r>
    <n v="33662"/>
    <x v="6"/>
    <x v="1"/>
    <n v="683.98"/>
    <n v="37"/>
    <n v="25307.26"/>
    <x v="406"/>
    <x v="433"/>
  </r>
  <r>
    <n v="31822"/>
    <x v="0"/>
    <x v="42"/>
    <n v="430.1"/>
    <n v="19"/>
    <n v="8171.9"/>
    <x v="114"/>
    <x v="322"/>
  </r>
  <r>
    <n v="93866"/>
    <x v="15"/>
    <x v="23"/>
    <n v="533.15"/>
    <n v="32"/>
    <n v="17060.8"/>
    <x v="436"/>
    <x v="37"/>
  </r>
  <r>
    <n v="23817"/>
    <x v="8"/>
    <x v="39"/>
    <n v="402.36"/>
    <n v="35"/>
    <n v="14082.6"/>
    <x v="264"/>
    <x v="139"/>
  </r>
  <r>
    <n v="36255"/>
    <x v="13"/>
    <x v="13"/>
    <n v="110.41"/>
    <n v="21"/>
    <n v="2318.61"/>
    <x v="437"/>
    <x v="298"/>
  </r>
  <r>
    <n v="92372"/>
    <x v="5"/>
    <x v="42"/>
    <n v="430.1"/>
    <n v="30"/>
    <n v="12903"/>
    <x v="62"/>
    <x v="101"/>
  </r>
  <r>
    <n v="15718"/>
    <x v="17"/>
    <x v="37"/>
    <n v="753.12"/>
    <n v="16"/>
    <n v="12049.92"/>
    <x v="419"/>
    <x v="135"/>
  </r>
  <r>
    <n v="74416"/>
    <x v="14"/>
    <x v="23"/>
    <n v="533.15"/>
    <n v="47"/>
    <n v="25058.05"/>
    <x v="114"/>
    <x v="434"/>
  </r>
  <r>
    <n v="78749"/>
    <x v="11"/>
    <x v="17"/>
    <n v="366.3"/>
    <n v="11"/>
    <n v="4029.3"/>
    <x v="244"/>
    <x v="419"/>
  </r>
  <r>
    <n v="30399"/>
    <x v="16"/>
    <x v="43"/>
    <n v="870.6"/>
    <n v="42"/>
    <n v="36565.199999999997"/>
    <x v="438"/>
    <x v="368"/>
  </r>
  <r>
    <n v="59957"/>
    <x v="11"/>
    <x v="17"/>
    <n v="366.3"/>
    <n v="10"/>
    <n v="3663"/>
    <x v="203"/>
    <x v="1"/>
  </r>
  <r>
    <n v="71311"/>
    <x v="1"/>
    <x v="19"/>
    <n v="682.74"/>
    <n v="16"/>
    <n v="10923.84"/>
    <x v="22"/>
    <x v="169"/>
  </r>
  <r>
    <n v="80108"/>
    <x v="7"/>
    <x v="43"/>
    <n v="870.6"/>
    <n v="24"/>
    <n v="20894.400000000001"/>
    <x v="439"/>
    <x v="86"/>
  </r>
  <r>
    <n v="86133"/>
    <x v="17"/>
    <x v="41"/>
    <n v="158.66999999999999"/>
    <n v="6"/>
    <n v="952.02"/>
    <x v="301"/>
    <x v="327"/>
  </r>
  <r>
    <n v="26610"/>
    <x v="3"/>
    <x v="18"/>
    <n v="617.33000000000004"/>
    <n v="35"/>
    <n v="21606.55"/>
    <x v="440"/>
    <x v="149"/>
  </r>
  <r>
    <n v="30586"/>
    <x v="4"/>
    <x v="46"/>
    <n v="346.4"/>
    <n v="26"/>
    <n v="9006.4"/>
    <x v="441"/>
    <x v="76"/>
  </r>
  <r>
    <n v="72224"/>
    <x v="13"/>
    <x v="27"/>
    <n v="399.32"/>
    <n v="26"/>
    <n v="10382.32"/>
    <x v="442"/>
    <x v="300"/>
  </r>
  <r>
    <n v="62523"/>
    <x v="7"/>
    <x v="14"/>
    <n v="112.52"/>
    <n v="34"/>
    <n v="3825.68"/>
    <x v="275"/>
    <x v="252"/>
  </r>
  <r>
    <n v="29380"/>
    <x v="18"/>
    <x v="2"/>
    <n v="68.05"/>
    <n v="20"/>
    <n v="1361"/>
    <x v="290"/>
    <x v="435"/>
  </r>
  <r>
    <n v="73435"/>
    <x v="18"/>
    <x v="49"/>
    <n v="761.92"/>
    <n v="5"/>
    <n v="3809.6"/>
    <x v="443"/>
    <x v="416"/>
  </r>
  <r>
    <n v="77366"/>
    <x v="1"/>
    <x v="13"/>
    <n v="110.41"/>
    <n v="7"/>
    <n v="772.87"/>
    <x v="444"/>
    <x v="406"/>
  </r>
  <r>
    <n v="30261"/>
    <x v="14"/>
    <x v="33"/>
    <n v="705.68"/>
    <n v="18"/>
    <n v="12702.24"/>
    <x v="445"/>
    <x v="131"/>
  </r>
  <r>
    <n v="71674"/>
    <x v="7"/>
    <x v="27"/>
    <n v="399.32"/>
    <n v="50"/>
    <n v="19966"/>
    <x v="216"/>
    <x v="130"/>
  </r>
  <r>
    <n v="47169"/>
    <x v="2"/>
    <x v="47"/>
    <n v="325"/>
    <n v="43"/>
    <n v="13975"/>
    <x v="446"/>
    <x v="222"/>
  </r>
  <r>
    <n v="69843"/>
    <x v="4"/>
    <x v="17"/>
    <n v="366.3"/>
    <n v="1"/>
    <n v="366.3"/>
    <x v="381"/>
    <x v="436"/>
  </r>
  <r>
    <n v="16026"/>
    <x v="18"/>
    <x v="36"/>
    <n v="796.51"/>
    <n v="46"/>
    <n v="36639.46"/>
    <x v="20"/>
    <x v="395"/>
  </r>
  <r>
    <n v="41528"/>
    <x v="17"/>
    <x v="22"/>
    <n v="468.95"/>
    <n v="40"/>
    <n v="18758"/>
    <x v="447"/>
    <x v="293"/>
  </r>
  <r>
    <n v="75086"/>
    <x v="11"/>
    <x v="16"/>
    <n v="654.4"/>
    <n v="32"/>
    <n v="20940.8"/>
    <x v="432"/>
    <x v="88"/>
  </r>
  <r>
    <n v="16616"/>
    <x v="13"/>
    <x v="15"/>
    <n v="608.37"/>
    <n v="29"/>
    <n v="17642.73"/>
    <x v="448"/>
    <x v="240"/>
  </r>
  <r>
    <n v="13608"/>
    <x v="4"/>
    <x v="17"/>
    <n v="366.3"/>
    <n v="50"/>
    <n v="18315"/>
    <x v="449"/>
    <x v="380"/>
  </r>
  <r>
    <n v="48147"/>
    <x v="16"/>
    <x v="34"/>
    <n v="474.55"/>
    <n v="42"/>
    <n v="19931.099999999999"/>
    <x v="46"/>
    <x v="233"/>
  </r>
  <r>
    <n v="22661"/>
    <x v="0"/>
    <x v="49"/>
    <n v="761.92"/>
    <n v="7"/>
    <n v="5333.44"/>
    <x v="450"/>
    <x v="437"/>
  </r>
  <r>
    <n v="50973"/>
    <x v="18"/>
    <x v="22"/>
    <n v="468.95"/>
    <n v="48"/>
    <n v="22509.599999999999"/>
    <x v="370"/>
    <x v="42"/>
  </r>
  <r>
    <n v="92398"/>
    <x v="6"/>
    <x v="8"/>
    <n v="596.97"/>
    <n v="26"/>
    <n v="15521.22"/>
    <x v="191"/>
    <x v="80"/>
  </r>
  <r>
    <n v="24296"/>
    <x v="14"/>
    <x v="45"/>
    <n v="890.84"/>
    <n v="40"/>
    <n v="35633.599999999999"/>
    <x v="303"/>
    <x v="438"/>
  </r>
  <r>
    <n v="78028"/>
    <x v="14"/>
    <x v="4"/>
    <n v="546.64"/>
    <n v="13"/>
    <n v="7106.32"/>
    <x v="451"/>
    <x v="364"/>
  </r>
  <r>
    <n v="36966"/>
    <x v="19"/>
    <x v="6"/>
    <n v="222.47"/>
    <n v="35"/>
    <n v="7786.45"/>
    <x v="395"/>
    <x v="179"/>
  </r>
  <r>
    <n v="80788"/>
    <x v="9"/>
    <x v="20"/>
    <n v="93.68"/>
    <n v="20"/>
    <n v="1873.6"/>
    <x v="143"/>
    <x v="439"/>
  </r>
  <r>
    <n v="79416"/>
    <x v="1"/>
    <x v="26"/>
    <n v="730.09"/>
    <n v="1"/>
    <n v="730.09"/>
    <x v="149"/>
    <x v="43"/>
  </r>
  <r>
    <n v="83130"/>
    <x v="2"/>
    <x v="9"/>
    <n v="796.94"/>
    <n v="27"/>
    <n v="21517.38"/>
    <x v="262"/>
    <x v="440"/>
  </r>
  <r>
    <n v="79366"/>
    <x v="2"/>
    <x v="14"/>
    <n v="112.52"/>
    <n v="30"/>
    <n v="3375.6"/>
    <x v="301"/>
    <x v="263"/>
  </r>
  <r>
    <n v="43263"/>
    <x v="7"/>
    <x v="16"/>
    <n v="654.4"/>
    <n v="22"/>
    <n v="14396.8"/>
    <x v="2"/>
    <x v="441"/>
  </r>
  <r>
    <n v="99928"/>
    <x v="0"/>
    <x v="35"/>
    <n v="611.66"/>
    <n v="1"/>
    <n v="611.66"/>
    <x v="189"/>
    <x v="149"/>
  </r>
  <r>
    <n v="34372"/>
    <x v="10"/>
    <x v="33"/>
    <n v="705.68"/>
    <n v="1"/>
    <n v="705.68"/>
    <x v="452"/>
    <x v="82"/>
  </r>
  <r>
    <n v="45728"/>
    <x v="7"/>
    <x v="17"/>
    <n v="366.3"/>
    <n v="30"/>
    <n v="10989"/>
    <x v="396"/>
    <x v="309"/>
  </r>
  <r>
    <n v="47227"/>
    <x v="5"/>
    <x v="23"/>
    <n v="533.15"/>
    <n v="46"/>
    <n v="24524.9"/>
    <x v="316"/>
    <x v="260"/>
  </r>
  <r>
    <n v="96364"/>
    <x v="2"/>
    <x v="9"/>
    <n v="796.94"/>
    <n v="4"/>
    <n v="3187.76"/>
    <x v="226"/>
    <x v="442"/>
  </r>
  <r>
    <n v="30030"/>
    <x v="10"/>
    <x v="10"/>
    <n v="233.83"/>
    <n v="4"/>
    <n v="935.32"/>
    <x v="453"/>
    <x v="267"/>
  </r>
  <r>
    <n v="54822"/>
    <x v="10"/>
    <x v="34"/>
    <n v="474.55"/>
    <n v="25"/>
    <n v="11863.75"/>
    <x v="454"/>
    <x v="48"/>
  </r>
  <r>
    <n v="72660"/>
    <x v="4"/>
    <x v="34"/>
    <n v="474.55"/>
    <n v="25"/>
    <n v="11863.75"/>
    <x v="455"/>
    <x v="169"/>
  </r>
  <r>
    <n v="58357"/>
    <x v="11"/>
    <x v="18"/>
    <n v="617.33000000000004"/>
    <n v="26"/>
    <n v="16050.58"/>
    <x v="407"/>
    <x v="247"/>
  </r>
  <r>
    <n v="16433"/>
    <x v="19"/>
    <x v="32"/>
    <n v="184.57"/>
    <n v="5"/>
    <n v="922.85"/>
    <x v="121"/>
    <x v="344"/>
  </r>
  <r>
    <n v="98931"/>
    <x v="10"/>
    <x v="8"/>
    <n v="596.97"/>
    <n v="3"/>
    <n v="1790.91"/>
    <x v="447"/>
    <x v="367"/>
  </r>
  <r>
    <n v="33374"/>
    <x v="2"/>
    <x v="17"/>
    <n v="366.3"/>
    <n v="32"/>
    <n v="11721.6"/>
    <x v="456"/>
    <x v="443"/>
  </r>
  <r>
    <n v="18801"/>
    <x v="5"/>
    <x v="43"/>
    <n v="870.6"/>
    <n v="40"/>
    <n v="34824"/>
    <x v="66"/>
    <x v="208"/>
  </r>
  <r>
    <n v="40645"/>
    <x v="4"/>
    <x v="12"/>
    <n v="875.47"/>
    <n v="30"/>
    <n v="26264.1"/>
    <x v="266"/>
    <x v="64"/>
  </r>
  <r>
    <n v="56283"/>
    <x v="9"/>
    <x v="38"/>
    <n v="45.72"/>
    <n v="13"/>
    <n v="594.36"/>
    <x v="457"/>
    <x v="444"/>
  </r>
  <r>
    <n v="62746"/>
    <x v="19"/>
    <x v="37"/>
    <n v="753.12"/>
    <n v="26"/>
    <n v="19581.12"/>
    <x v="325"/>
    <x v="157"/>
  </r>
  <r>
    <n v="68815"/>
    <x v="7"/>
    <x v="44"/>
    <n v="913.18"/>
    <n v="33"/>
    <n v="30134.94"/>
    <x v="60"/>
    <x v="1"/>
  </r>
  <r>
    <n v="52874"/>
    <x v="4"/>
    <x v="28"/>
    <n v="641.34"/>
    <n v="36"/>
    <n v="23088.240000000002"/>
    <x v="458"/>
    <x v="150"/>
  </r>
  <r>
    <n v="48546"/>
    <x v="15"/>
    <x v="8"/>
    <n v="596.97"/>
    <n v="5"/>
    <n v="2984.85"/>
    <x v="301"/>
    <x v="445"/>
  </r>
  <r>
    <n v="62900"/>
    <x v="7"/>
    <x v="43"/>
    <n v="870.6"/>
    <n v="22"/>
    <n v="19153.2"/>
    <x v="459"/>
    <x v="228"/>
  </r>
  <r>
    <n v="81140"/>
    <x v="4"/>
    <x v="3"/>
    <n v="449.74"/>
    <n v="10"/>
    <n v="4497.3999999999996"/>
    <x v="411"/>
    <x v="419"/>
  </r>
  <r>
    <n v="58106"/>
    <x v="13"/>
    <x v="46"/>
    <n v="346.4"/>
    <n v="15"/>
    <n v="5196"/>
    <x v="460"/>
    <x v="345"/>
  </r>
  <r>
    <n v="93327"/>
    <x v="17"/>
    <x v="40"/>
    <n v="795.19"/>
    <n v="10"/>
    <n v="7951.9"/>
    <x v="366"/>
    <x v="446"/>
  </r>
  <r>
    <n v="75493"/>
    <x v="7"/>
    <x v="32"/>
    <n v="184.57"/>
    <n v="15"/>
    <n v="2768.55"/>
    <x v="87"/>
    <x v="267"/>
  </r>
  <r>
    <n v="43094"/>
    <x v="5"/>
    <x v="16"/>
    <n v="654.4"/>
    <n v="29"/>
    <n v="18977.599999999999"/>
    <x v="14"/>
    <x v="249"/>
  </r>
  <r>
    <n v="40906"/>
    <x v="13"/>
    <x v="48"/>
    <n v="95.12"/>
    <n v="3"/>
    <n v="285.36"/>
    <x v="268"/>
    <x v="175"/>
  </r>
  <r>
    <n v="70520"/>
    <x v="6"/>
    <x v="17"/>
    <n v="366.3"/>
    <n v="45"/>
    <n v="16483.5"/>
    <x v="461"/>
    <x v="447"/>
  </r>
  <r>
    <n v="71310"/>
    <x v="16"/>
    <x v="7"/>
    <n v="101.12"/>
    <n v="41"/>
    <n v="4145.92"/>
    <x v="190"/>
    <x v="244"/>
  </r>
  <r>
    <n v="81115"/>
    <x v="15"/>
    <x v="3"/>
    <n v="449.74"/>
    <n v="43"/>
    <n v="19338.82"/>
    <x v="149"/>
    <x v="365"/>
  </r>
  <r>
    <n v="20677"/>
    <x v="16"/>
    <x v="25"/>
    <n v="972.24"/>
    <n v="49"/>
    <n v="47639.76"/>
    <x v="462"/>
    <x v="46"/>
  </r>
  <r>
    <n v="19286"/>
    <x v="13"/>
    <x v="24"/>
    <n v="323.73"/>
    <n v="18"/>
    <n v="5827.14"/>
    <x v="16"/>
    <x v="448"/>
  </r>
  <r>
    <n v="42293"/>
    <x v="17"/>
    <x v="7"/>
    <n v="101.12"/>
    <n v="40"/>
    <n v="4044.8"/>
    <x v="142"/>
    <x v="443"/>
  </r>
  <r>
    <n v="87188"/>
    <x v="5"/>
    <x v="41"/>
    <n v="158.66999999999999"/>
    <n v="14"/>
    <n v="2221.38"/>
    <x v="463"/>
    <x v="186"/>
  </r>
  <r>
    <n v="45269"/>
    <x v="19"/>
    <x v="38"/>
    <n v="45.72"/>
    <n v="7"/>
    <n v="320.04000000000002"/>
    <x v="12"/>
    <x v="405"/>
  </r>
  <r>
    <n v="29918"/>
    <x v="1"/>
    <x v="49"/>
    <n v="761.92"/>
    <n v="1"/>
    <n v="761.92"/>
    <x v="464"/>
    <x v="449"/>
  </r>
  <r>
    <n v="27993"/>
    <x v="5"/>
    <x v="31"/>
    <n v="346.37"/>
    <n v="8"/>
    <n v="2770.96"/>
    <x v="465"/>
    <x v="355"/>
  </r>
  <r>
    <n v="60180"/>
    <x v="15"/>
    <x v="33"/>
    <n v="705.68"/>
    <n v="5"/>
    <n v="3528.4"/>
    <x v="197"/>
    <x v="450"/>
  </r>
  <r>
    <n v="39395"/>
    <x v="0"/>
    <x v="17"/>
    <n v="366.3"/>
    <n v="34"/>
    <n v="12454.2"/>
    <x v="466"/>
    <x v="230"/>
  </r>
  <r>
    <n v="47118"/>
    <x v="16"/>
    <x v="24"/>
    <n v="323.73"/>
    <n v="30"/>
    <n v="9711.9"/>
    <x v="252"/>
    <x v="451"/>
  </r>
  <r>
    <n v="58033"/>
    <x v="0"/>
    <x v="6"/>
    <n v="222.47"/>
    <n v="44"/>
    <n v="9788.68"/>
    <x v="94"/>
    <x v="273"/>
  </r>
  <r>
    <n v="80336"/>
    <x v="14"/>
    <x v="32"/>
    <n v="184.57"/>
    <n v="26"/>
    <n v="4798.82"/>
    <x v="467"/>
    <x v="158"/>
  </r>
  <r>
    <n v="25422"/>
    <x v="19"/>
    <x v="17"/>
    <n v="366.3"/>
    <n v="33"/>
    <n v="12087.9"/>
    <x v="251"/>
    <x v="172"/>
  </r>
  <r>
    <n v="22838"/>
    <x v="13"/>
    <x v="47"/>
    <n v="325"/>
    <n v="32"/>
    <n v="10400"/>
    <x v="468"/>
    <x v="322"/>
  </r>
  <r>
    <n v="48973"/>
    <x v="18"/>
    <x v="20"/>
    <n v="93.68"/>
    <n v="28"/>
    <n v="2623.04"/>
    <x v="469"/>
    <x v="443"/>
  </r>
  <r>
    <n v="72047"/>
    <x v="13"/>
    <x v="24"/>
    <n v="323.73"/>
    <n v="13"/>
    <n v="4208.49"/>
    <x v="282"/>
    <x v="452"/>
  </r>
  <r>
    <n v="73822"/>
    <x v="13"/>
    <x v="10"/>
    <n v="233.83"/>
    <n v="37"/>
    <n v="8651.7099999999991"/>
    <x v="470"/>
    <x v="37"/>
  </r>
  <r>
    <n v="59483"/>
    <x v="16"/>
    <x v="10"/>
    <n v="233.83"/>
    <n v="41"/>
    <n v="9587.0300000000007"/>
    <x v="407"/>
    <x v="453"/>
  </r>
  <r>
    <n v="27567"/>
    <x v="10"/>
    <x v="23"/>
    <n v="533.15"/>
    <n v="42"/>
    <n v="22392.3"/>
    <x v="471"/>
    <x v="218"/>
  </r>
  <r>
    <n v="57715"/>
    <x v="0"/>
    <x v="25"/>
    <n v="972.24"/>
    <n v="28"/>
    <n v="27222.720000000001"/>
    <x v="121"/>
    <x v="319"/>
  </r>
  <r>
    <n v="91764"/>
    <x v="8"/>
    <x v="36"/>
    <n v="796.51"/>
    <n v="2"/>
    <n v="1593.02"/>
    <x v="472"/>
    <x v="63"/>
  </r>
  <r>
    <n v="37549"/>
    <x v="11"/>
    <x v="7"/>
    <n v="101.12"/>
    <n v="14"/>
    <n v="1415.68"/>
    <x v="54"/>
    <x v="180"/>
  </r>
  <r>
    <n v="85641"/>
    <x v="2"/>
    <x v="35"/>
    <n v="611.66"/>
    <n v="7"/>
    <n v="4281.62"/>
    <x v="76"/>
    <x v="454"/>
  </r>
  <r>
    <n v="15240"/>
    <x v="10"/>
    <x v="19"/>
    <n v="682.74"/>
    <n v="30"/>
    <n v="20482.2"/>
    <x v="473"/>
    <x v="323"/>
  </r>
  <r>
    <n v="67426"/>
    <x v="12"/>
    <x v="46"/>
    <n v="346.4"/>
    <n v="12"/>
    <n v="4156.8"/>
    <x v="273"/>
    <x v="455"/>
  </r>
  <r>
    <n v="10497"/>
    <x v="4"/>
    <x v="42"/>
    <n v="430.1"/>
    <n v="16"/>
    <n v="6881.6"/>
    <x v="474"/>
    <x v="386"/>
  </r>
  <r>
    <n v="99341"/>
    <x v="6"/>
    <x v="17"/>
    <n v="366.3"/>
    <n v="40"/>
    <n v="14652"/>
    <x v="285"/>
    <x v="440"/>
  </r>
  <r>
    <n v="70657"/>
    <x v="11"/>
    <x v="7"/>
    <n v="101.12"/>
    <n v="7"/>
    <n v="707.84"/>
    <x v="475"/>
    <x v="456"/>
  </r>
  <r>
    <n v="69084"/>
    <x v="4"/>
    <x v="31"/>
    <n v="346.37"/>
    <n v="38"/>
    <n v="13162.06"/>
    <x v="227"/>
    <x v="47"/>
  </r>
  <r>
    <n v="33684"/>
    <x v="16"/>
    <x v="16"/>
    <n v="654.4"/>
    <n v="23"/>
    <n v="15051.2"/>
    <x v="296"/>
    <x v="457"/>
  </r>
  <r>
    <n v="99831"/>
    <x v="11"/>
    <x v="13"/>
    <n v="110.41"/>
    <n v="15"/>
    <n v="1656.15"/>
    <x v="116"/>
    <x v="458"/>
  </r>
  <r>
    <n v="45831"/>
    <x v="11"/>
    <x v="21"/>
    <n v="534.77"/>
    <n v="19"/>
    <n v="10160.629999999999"/>
    <x v="476"/>
    <x v="459"/>
  </r>
  <r>
    <n v="89239"/>
    <x v="8"/>
    <x v="42"/>
    <n v="430.1"/>
    <n v="12"/>
    <n v="5161.2"/>
    <x v="477"/>
    <x v="96"/>
  </r>
  <r>
    <n v="25585"/>
    <x v="4"/>
    <x v="36"/>
    <n v="796.51"/>
    <n v="25"/>
    <n v="19912.75"/>
    <x v="474"/>
    <x v="46"/>
  </r>
  <r>
    <n v="32342"/>
    <x v="18"/>
    <x v="31"/>
    <n v="346.37"/>
    <n v="5"/>
    <n v="1731.85"/>
    <x v="478"/>
    <x v="37"/>
  </r>
  <r>
    <n v="39932"/>
    <x v="13"/>
    <x v="33"/>
    <n v="705.68"/>
    <n v="6"/>
    <n v="4234.08"/>
    <x v="230"/>
    <x v="122"/>
  </r>
  <r>
    <n v="75760"/>
    <x v="13"/>
    <x v="44"/>
    <n v="913.18"/>
    <n v="31"/>
    <n v="28308.58"/>
    <x v="479"/>
    <x v="331"/>
  </r>
  <r>
    <n v="64888"/>
    <x v="11"/>
    <x v="16"/>
    <n v="654.4"/>
    <n v="6"/>
    <n v="3926.4"/>
    <x v="480"/>
    <x v="250"/>
  </r>
  <r>
    <n v="85423"/>
    <x v="5"/>
    <x v="15"/>
    <n v="608.37"/>
    <n v="16"/>
    <n v="9733.92"/>
    <x v="481"/>
    <x v="140"/>
  </r>
  <r>
    <n v="37918"/>
    <x v="11"/>
    <x v="15"/>
    <n v="608.37"/>
    <n v="48"/>
    <n v="29201.759999999998"/>
    <x v="482"/>
    <x v="460"/>
  </r>
  <r>
    <n v="26343"/>
    <x v="12"/>
    <x v="28"/>
    <n v="641.34"/>
    <n v="15"/>
    <n v="9620.1"/>
    <x v="483"/>
    <x v="461"/>
  </r>
  <r>
    <n v="21904"/>
    <x v="1"/>
    <x v="47"/>
    <n v="325"/>
    <n v="46"/>
    <n v="14950"/>
    <x v="484"/>
    <x v="377"/>
  </r>
  <r>
    <n v="68786"/>
    <x v="2"/>
    <x v="49"/>
    <n v="761.92"/>
    <n v="23"/>
    <n v="17524.16"/>
    <x v="485"/>
    <x v="115"/>
  </r>
  <r>
    <n v="34649"/>
    <x v="1"/>
    <x v="27"/>
    <n v="399.32"/>
    <n v="9"/>
    <n v="3593.88"/>
    <x v="432"/>
    <x v="37"/>
  </r>
  <r>
    <n v="49433"/>
    <x v="19"/>
    <x v="31"/>
    <n v="346.37"/>
    <n v="34"/>
    <n v="11776.58"/>
    <x v="92"/>
    <x v="299"/>
  </r>
  <r>
    <n v="78946"/>
    <x v="7"/>
    <x v="1"/>
    <n v="683.98"/>
    <n v="36"/>
    <n v="24623.279999999999"/>
    <x v="142"/>
    <x v="213"/>
  </r>
  <r>
    <n v="21526"/>
    <x v="7"/>
    <x v="24"/>
    <n v="323.73"/>
    <n v="21"/>
    <n v="6798.33"/>
    <x v="486"/>
    <x v="454"/>
  </r>
  <r>
    <n v="76723"/>
    <x v="19"/>
    <x v="46"/>
    <n v="346.4"/>
    <n v="44"/>
    <n v="15241.6"/>
    <x v="72"/>
    <x v="414"/>
  </r>
  <r>
    <n v="51834"/>
    <x v="17"/>
    <x v="8"/>
    <n v="596.97"/>
    <n v="35"/>
    <n v="20893.95"/>
    <x v="410"/>
    <x v="435"/>
  </r>
  <r>
    <n v="69699"/>
    <x v="15"/>
    <x v="39"/>
    <n v="402.36"/>
    <n v="20"/>
    <n v="8047.2"/>
    <x v="487"/>
    <x v="403"/>
  </r>
  <r>
    <n v="80701"/>
    <x v="15"/>
    <x v="36"/>
    <n v="796.51"/>
    <n v="14"/>
    <n v="11151.14"/>
    <x v="159"/>
    <x v="439"/>
  </r>
  <r>
    <n v="79704"/>
    <x v="11"/>
    <x v="32"/>
    <n v="184.57"/>
    <n v="34"/>
    <n v="6275.38"/>
    <x v="488"/>
    <x v="457"/>
  </r>
  <r>
    <n v="13683"/>
    <x v="13"/>
    <x v="11"/>
    <n v="988.47"/>
    <n v="46"/>
    <n v="45469.62"/>
    <x v="28"/>
    <x v="462"/>
  </r>
  <r>
    <n v="79046"/>
    <x v="10"/>
    <x v="0"/>
    <n v="855.99"/>
    <n v="40"/>
    <n v="34239.599999999999"/>
    <x v="489"/>
    <x v="463"/>
  </r>
  <r>
    <n v="39938"/>
    <x v="12"/>
    <x v="12"/>
    <n v="875.47"/>
    <n v="1"/>
    <n v="875.47"/>
    <x v="490"/>
    <x v="171"/>
  </r>
  <r>
    <n v="76991"/>
    <x v="13"/>
    <x v="43"/>
    <n v="870.6"/>
    <n v="1"/>
    <n v="870.6"/>
    <x v="491"/>
    <x v="464"/>
  </r>
  <r>
    <n v="80237"/>
    <x v="16"/>
    <x v="26"/>
    <n v="730.09"/>
    <n v="19"/>
    <n v="13871.71"/>
    <x v="453"/>
    <x v="438"/>
  </r>
  <r>
    <n v="35231"/>
    <x v="4"/>
    <x v="7"/>
    <n v="101.12"/>
    <n v="32"/>
    <n v="3235.84"/>
    <x v="352"/>
    <x v="465"/>
  </r>
  <r>
    <n v="12572"/>
    <x v="4"/>
    <x v="18"/>
    <n v="617.33000000000004"/>
    <n v="39"/>
    <n v="24075.87"/>
    <x v="218"/>
    <x v="466"/>
  </r>
  <r>
    <n v="65029"/>
    <x v="4"/>
    <x v="5"/>
    <n v="622.16"/>
    <n v="36"/>
    <n v="22397.759999999998"/>
    <x v="348"/>
    <x v="458"/>
  </r>
  <r>
    <n v="71646"/>
    <x v="18"/>
    <x v="36"/>
    <n v="796.51"/>
    <n v="37"/>
    <n v="29470.87"/>
    <x v="142"/>
    <x v="102"/>
  </r>
  <r>
    <n v="36849"/>
    <x v="7"/>
    <x v="2"/>
    <n v="68.05"/>
    <n v="7"/>
    <n v="476.35"/>
    <x v="464"/>
    <x v="467"/>
  </r>
  <r>
    <n v="93787"/>
    <x v="18"/>
    <x v="21"/>
    <n v="534.77"/>
    <n v="38"/>
    <n v="20321.259999999998"/>
    <x v="492"/>
    <x v="468"/>
  </r>
  <r>
    <n v="17814"/>
    <x v="8"/>
    <x v="48"/>
    <n v="95.12"/>
    <n v="16"/>
    <n v="1521.92"/>
    <x v="1"/>
    <x v="405"/>
  </r>
  <r>
    <n v="63935"/>
    <x v="7"/>
    <x v="40"/>
    <n v="795.19"/>
    <n v="38"/>
    <n v="30217.22"/>
    <x v="419"/>
    <x v="374"/>
  </r>
  <r>
    <n v="28944"/>
    <x v="0"/>
    <x v="27"/>
    <n v="399.32"/>
    <n v="38"/>
    <n v="15174.16"/>
    <x v="493"/>
    <x v="210"/>
  </r>
  <r>
    <n v="48474"/>
    <x v="0"/>
    <x v="4"/>
    <n v="546.64"/>
    <n v="23"/>
    <n v="12572.72"/>
    <x v="494"/>
    <x v="469"/>
  </r>
  <r>
    <n v="64023"/>
    <x v="10"/>
    <x v="32"/>
    <n v="184.57"/>
    <n v="18"/>
    <n v="3322.26"/>
    <x v="495"/>
    <x v="283"/>
  </r>
  <r>
    <n v="75327"/>
    <x v="9"/>
    <x v="47"/>
    <n v="325"/>
    <n v="21"/>
    <n v="6825"/>
    <x v="496"/>
    <x v="161"/>
  </r>
  <r>
    <n v="71738"/>
    <x v="14"/>
    <x v="49"/>
    <n v="761.92"/>
    <n v="24"/>
    <n v="18286.080000000002"/>
    <x v="112"/>
    <x v="117"/>
  </r>
  <r>
    <n v="78729"/>
    <x v="17"/>
    <x v="33"/>
    <n v="705.68"/>
    <n v="34"/>
    <n v="23993.119999999999"/>
    <x v="365"/>
    <x v="307"/>
  </r>
  <r>
    <n v="32893"/>
    <x v="12"/>
    <x v="12"/>
    <n v="875.47"/>
    <n v="7"/>
    <n v="6128.29"/>
    <x v="497"/>
    <x v="104"/>
  </r>
  <r>
    <n v="86471"/>
    <x v="18"/>
    <x v="35"/>
    <n v="611.66"/>
    <n v="40"/>
    <n v="24466.400000000001"/>
    <x v="11"/>
    <x v="142"/>
  </r>
  <r>
    <n v="71344"/>
    <x v="18"/>
    <x v="7"/>
    <n v="101.12"/>
    <n v="18"/>
    <n v="1820.16"/>
    <x v="498"/>
    <x v="105"/>
  </r>
  <r>
    <n v="34564"/>
    <x v="8"/>
    <x v="13"/>
    <n v="110.41"/>
    <n v="4"/>
    <n v="441.64"/>
    <x v="499"/>
    <x v="50"/>
  </r>
  <r>
    <n v="80772"/>
    <x v="0"/>
    <x v="8"/>
    <n v="596.97"/>
    <n v="39"/>
    <n v="23281.83"/>
    <x v="10"/>
    <x v="281"/>
  </r>
  <r>
    <n v="74228"/>
    <x v="11"/>
    <x v="37"/>
    <n v="753.12"/>
    <n v="24"/>
    <n v="18074.88"/>
    <x v="500"/>
    <x v="470"/>
  </r>
  <r>
    <n v="37976"/>
    <x v="1"/>
    <x v="20"/>
    <n v="93.68"/>
    <n v="35"/>
    <n v="3278.8"/>
    <x v="299"/>
    <x v="246"/>
  </r>
  <r>
    <n v="60791"/>
    <x v="5"/>
    <x v="18"/>
    <n v="617.33000000000004"/>
    <n v="24"/>
    <n v="14815.92"/>
    <x v="55"/>
    <x v="471"/>
  </r>
  <r>
    <n v="79327"/>
    <x v="2"/>
    <x v="32"/>
    <n v="184.57"/>
    <n v="34"/>
    <n v="6275.38"/>
    <x v="5"/>
    <x v="324"/>
  </r>
  <r>
    <n v="47458"/>
    <x v="14"/>
    <x v="13"/>
    <n v="110.41"/>
    <n v="9"/>
    <n v="993.69"/>
    <x v="307"/>
    <x v="471"/>
  </r>
  <r>
    <n v="69887"/>
    <x v="6"/>
    <x v="24"/>
    <n v="323.73"/>
    <n v="21"/>
    <n v="6798.33"/>
    <x v="160"/>
    <x v="472"/>
  </r>
  <r>
    <n v="22908"/>
    <x v="11"/>
    <x v="8"/>
    <n v="596.97"/>
    <n v="23"/>
    <n v="13730.31"/>
    <x v="257"/>
    <x v="9"/>
  </r>
  <r>
    <n v="48224"/>
    <x v="2"/>
    <x v="8"/>
    <n v="596.97"/>
    <n v="45"/>
    <n v="26863.65"/>
    <x v="501"/>
    <x v="401"/>
  </r>
  <r>
    <n v="62876"/>
    <x v="8"/>
    <x v="2"/>
    <n v="68.05"/>
    <n v="14"/>
    <n v="952.7"/>
    <x v="486"/>
    <x v="473"/>
  </r>
  <r>
    <n v="55192"/>
    <x v="16"/>
    <x v="29"/>
    <n v="404.9"/>
    <n v="23"/>
    <n v="9312.7000000000007"/>
    <x v="425"/>
    <x v="474"/>
  </r>
  <r>
    <n v="87861"/>
    <x v="18"/>
    <x v="40"/>
    <n v="795.19"/>
    <n v="9"/>
    <n v="7156.71"/>
    <x v="502"/>
    <x v="354"/>
  </r>
  <r>
    <n v="90939"/>
    <x v="4"/>
    <x v="23"/>
    <n v="533.15"/>
    <n v="16"/>
    <n v="8530.4"/>
    <x v="503"/>
    <x v="279"/>
  </r>
  <r>
    <n v="66981"/>
    <x v="18"/>
    <x v="15"/>
    <n v="608.37"/>
    <n v="39"/>
    <n v="23726.43"/>
    <x v="317"/>
    <x v="227"/>
  </r>
  <r>
    <n v="36788"/>
    <x v="1"/>
    <x v="21"/>
    <n v="534.77"/>
    <n v="38"/>
    <n v="20321.259999999998"/>
    <x v="410"/>
    <x v="249"/>
  </r>
  <r>
    <n v="20536"/>
    <x v="2"/>
    <x v="37"/>
    <n v="753.12"/>
    <n v="1"/>
    <n v="753.12"/>
    <x v="504"/>
    <x v="475"/>
  </r>
  <r>
    <n v="78231"/>
    <x v="17"/>
    <x v="36"/>
    <n v="796.51"/>
    <n v="18"/>
    <n v="14337.18"/>
    <x v="86"/>
    <x v="104"/>
  </r>
  <r>
    <n v="99076"/>
    <x v="5"/>
    <x v="45"/>
    <n v="890.84"/>
    <n v="16"/>
    <n v="14253.44"/>
    <x v="384"/>
    <x v="476"/>
  </r>
  <r>
    <n v="89544"/>
    <x v="8"/>
    <x v="49"/>
    <n v="761.92"/>
    <n v="50"/>
    <n v="38096"/>
    <x v="352"/>
    <x v="477"/>
  </r>
  <r>
    <n v="63828"/>
    <x v="10"/>
    <x v="47"/>
    <n v="325"/>
    <n v="19"/>
    <n v="6175"/>
    <x v="261"/>
    <x v="119"/>
  </r>
  <r>
    <n v="11570"/>
    <x v="13"/>
    <x v="22"/>
    <n v="468.95"/>
    <n v="41"/>
    <n v="19226.95"/>
    <x v="322"/>
    <x v="95"/>
  </r>
  <r>
    <n v="34726"/>
    <x v="7"/>
    <x v="25"/>
    <n v="972.24"/>
    <n v="29"/>
    <n v="28194.959999999999"/>
    <x v="257"/>
    <x v="478"/>
  </r>
  <r>
    <n v="79706"/>
    <x v="18"/>
    <x v="9"/>
    <n v="796.94"/>
    <n v="6"/>
    <n v="4781.6400000000003"/>
    <x v="505"/>
    <x v="80"/>
  </r>
  <r>
    <n v="93384"/>
    <x v="7"/>
    <x v="45"/>
    <n v="890.84"/>
    <n v="44"/>
    <n v="39196.959999999999"/>
    <x v="15"/>
    <x v="479"/>
  </r>
  <r>
    <n v="99189"/>
    <x v="2"/>
    <x v="15"/>
    <n v="608.37"/>
    <n v="21"/>
    <n v="12775.77"/>
    <x v="506"/>
    <x v="13"/>
  </r>
  <r>
    <n v="93337"/>
    <x v="15"/>
    <x v="6"/>
    <n v="222.47"/>
    <n v="32"/>
    <n v="7119.04"/>
    <x v="144"/>
    <x v="375"/>
  </r>
  <r>
    <n v="32764"/>
    <x v="17"/>
    <x v="34"/>
    <n v="474.55"/>
    <n v="45"/>
    <n v="21354.75"/>
    <x v="423"/>
    <x v="403"/>
  </r>
  <r>
    <n v="18504"/>
    <x v="12"/>
    <x v="30"/>
    <n v="988.73"/>
    <n v="5"/>
    <n v="4943.6499999999996"/>
    <x v="309"/>
    <x v="227"/>
  </r>
  <r>
    <n v="82356"/>
    <x v="13"/>
    <x v="7"/>
    <n v="101.12"/>
    <n v="11"/>
    <n v="1112.32"/>
    <x v="507"/>
    <x v="156"/>
  </r>
  <r>
    <n v="91301"/>
    <x v="5"/>
    <x v="36"/>
    <n v="796.51"/>
    <n v="29"/>
    <n v="23098.79"/>
    <x v="508"/>
    <x v="386"/>
  </r>
  <r>
    <n v="33128"/>
    <x v="17"/>
    <x v="13"/>
    <n v="110.41"/>
    <n v="1"/>
    <n v="110.41"/>
    <x v="509"/>
    <x v="206"/>
  </r>
  <r>
    <n v="20986"/>
    <x v="7"/>
    <x v="17"/>
    <n v="366.3"/>
    <n v="31"/>
    <n v="11355.3"/>
    <x v="253"/>
    <x v="34"/>
  </r>
  <r>
    <n v="35625"/>
    <x v="15"/>
    <x v="21"/>
    <n v="534.77"/>
    <n v="27"/>
    <n v="14438.79"/>
    <x v="510"/>
    <x v="437"/>
  </r>
  <r>
    <n v="80031"/>
    <x v="7"/>
    <x v="35"/>
    <n v="611.66"/>
    <n v="47"/>
    <n v="28748.02"/>
    <x v="320"/>
    <x v="480"/>
  </r>
  <r>
    <n v="14947"/>
    <x v="6"/>
    <x v="34"/>
    <n v="474.55"/>
    <n v="35"/>
    <n v="16609.25"/>
    <x v="10"/>
    <x v="397"/>
  </r>
  <r>
    <n v="77955"/>
    <x v="18"/>
    <x v="18"/>
    <n v="617.33000000000004"/>
    <n v="40"/>
    <n v="24693.200000000001"/>
    <x v="265"/>
    <x v="481"/>
  </r>
  <r>
    <n v="19819"/>
    <x v="6"/>
    <x v="12"/>
    <n v="875.47"/>
    <n v="9"/>
    <n v="7879.23"/>
    <x v="91"/>
    <x v="482"/>
  </r>
  <r>
    <n v="54778"/>
    <x v="7"/>
    <x v="33"/>
    <n v="705.68"/>
    <n v="18"/>
    <n v="12702.24"/>
    <x v="511"/>
    <x v="368"/>
  </r>
  <r>
    <n v="89428"/>
    <x v="12"/>
    <x v="33"/>
    <n v="705.68"/>
    <n v="22"/>
    <n v="15524.96"/>
    <x v="447"/>
    <x v="483"/>
  </r>
  <r>
    <n v="62503"/>
    <x v="16"/>
    <x v="1"/>
    <n v="683.98"/>
    <n v="45"/>
    <n v="30779.1"/>
    <x v="103"/>
    <x v="484"/>
  </r>
  <r>
    <n v="32021"/>
    <x v="16"/>
    <x v="43"/>
    <n v="870.6"/>
    <n v="24"/>
    <n v="20894.400000000001"/>
    <x v="512"/>
    <x v="41"/>
  </r>
  <r>
    <n v="44772"/>
    <x v="0"/>
    <x v="10"/>
    <n v="233.83"/>
    <n v="47"/>
    <n v="10990.01"/>
    <x v="513"/>
    <x v="82"/>
  </r>
  <r>
    <n v="33633"/>
    <x v="1"/>
    <x v="36"/>
    <n v="796.51"/>
    <n v="18"/>
    <n v="14337.18"/>
    <x v="135"/>
    <x v="242"/>
  </r>
  <r>
    <n v="89864"/>
    <x v="6"/>
    <x v="7"/>
    <n v="101.12"/>
    <n v="26"/>
    <n v="2629.12"/>
    <x v="514"/>
    <x v="485"/>
  </r>
  <r>
    <n v="38289"/>
    <x v="13"/>
    <x v="12"/>
    <n v="875.47"/>
    <n v="2"/>
    <n v="1750.94"/>
    <x v="515"/>
    <x v="486"/>
  </r>
  <r>
    <n v="38085"/>
    <x v="5"/>
    <x v="1"/>
    <n v="683.98"/>
    <n v="7"/>
    <n v="4787.8599999999997"/>
    <x v="516"/>
    <x v="487"/>
  </r>
  <r>
    <n v="19101"/>
    <x v="12"/>
    <x v="47"/>
    <n v="325"/>
    <n v="27"/>
    <n v="8775"/>
    <x v="10"/>
    <x v="184"/>
  </r>
  <r>
    <n v="16193"/>
    <x v="4"/>
    <x v="26"/>
    <n v="730.09"/>
    <n v="15"/>
    <n v="10951.35"/>
    <x v="391"/>
    <x v="488"/>
  </r>
  <r>
    <n v="64388"/>
    <x v="11"/>
    <x v="48"/>
    <n v="95.12"/>
    <n v="16"/>
    <n v="1521.92"/>
    <x v="517"/>
    <x v="372"/>
  </r>
  <r>
    <n v="99986"/>
    <x v="8"/>
    <x v="9"/>
    <n v="796.94"/>
    <n v="29"/>
    <n v="23111.26"/>
    <x v="518"/>
    <x v="489"/>
  </r>
  <r>
    <n v="91126"/>
    <x v="11"/>
    <x v="45"/>
    <n v="890.84"/>
    <n v="6"/>
    <n v="5345.04"/>
    <x v="436"/>
    <x v="88"/>
  </r>
  <r>
    <n v="23982"/>
    <x v="19"/>
    <x v="8"/>
    <n v="596.97"/>
    <n v="16"/>
    <n v="9551.52"/>
    <x v="519"/>
    <x v="423"/>
  </r>
  <r>
    <n v="65275"/>
    <x v="15"/>
    <x v="24"/>
    <n v="323.73"/>
    <n v="35"/>
    <n v="11330.55"/>
    <x v="202"/>
    <x v="490"/>
  </r>
  <r>
    <n v="87537"/>
    <x v="3"/>
    <x v="27"/>
    <n v="399.32"/>
    <n v="21"/>
    <n v="8385.7199999999993"/>
    <x v="280"/>
    <x v="491"/>
  </r>
  <r>
    <n v="12008"/>
    <x v="16"/>
    <x v="21"/>
    <n v="534.77"/>
    <n v="22"/>
    <n v="11764.94"/>
    <x v="520"/>
    <x v="101"/>
  </r>
  <r>
    <n v="64679"/>
    <x v="9"/>
    <x v="1"/>
    <n v="683.98"/>
    <n v="39"/>
    <n v="26675.22"/>
    <x v="56"/>
    <x v="417"/>
  </r>
  <r>
    <n v="40307"/>
    <x v="15"/>
    <x v="11"/>
    <n v="988.47"/>
    <n v="31"/>
    <n v="30642.57"/>
    <x v="159"/>
    <x v="45"/>
  </r>
  <r>
    <n v="94998"/>
    <x v="0"/>
    <x v="8"/>
    <n v="596.97"/>
    <n v="32"/>
    <n v="19103.04"/>
    <x v="153"/>
    <x v="377"/>
  </r>
  <r>
    <n v="79764"/>
    <x v="8"/>
    <x v="42"/>
    <n v="430.1"/>
    <n v="42"/>
    <n v="18064.2"/>
    <x v="402"/>
    <x v="492"/>
  </r>
  <r>
    <n v="40886"/>
    <x v="1"/>
    <x v="9"/>
    <n v="796.94"/>
    <n v="7"/>
    <n v="5578.58"/>
    <x v="521"/>
    <x v="438"/>
  </r>
  <r>
    <n v="96481"/>
    <x v="1"/>
    <x v="11"/>
    <n v="988.47"/>
    <n v="34"/>
    <n v="33607.980000000003"/>
    <x v="157"/>
    <x v="493"/>
  </r>
  <r>
    <n v="67072"/>
    <x v="18"/>
    <x v="21"/>
    <n v="534.77"/>
    <n v="31"/>
    <n v="16577.87"/>
    <x v="332"/>
    <x v="433"/>
  </r>
  <r>
    <n v="99403"/>
    <x v="15"/>
    <x v="3"/>
    <n v="449.74"/>
    <n v="41"/>
    <n v="18439.34"/>
    <x v="458"/>
    <x v="494"/>
  </r>
  <r>
    <n v="22977"/>
    <x v="17"/>
    <x v="25"/>
    <n v="972.24"/>
    <n v="25"/>
    <n v="24306"/>
    <x v="522"/>
    <x v="495"/>
  </r>
  <r>
    <n v="94641"/>
    <x v="5"/>
    <x v="6"/>
    <n v="222.47"/>
    <n v="36"/>
    <n v="8008.92"/>
    <x v="320"/>
    <x v="136"/>
  </r>
  <r>
    <n v="60746"/>
    <x v="4"/>
    <x v="40"/>
    <n v="795.19"/>
    <n v="23"/>
    <n v="18289.37"/>
    <x v="523"/>
    <x v="275"/>
  </r>
  <r>
    <n v="94068"/>
    <x v="9"/>
    <x v="32"/>
    <n v="184.57"/>
    <n v="17"/>
    <n v="3137.69"/>
    <x v="524"/>
    <x v="496"/>
  </r>
  <r>
    <n v="82883"/>
    <x v="10"/>
    <x v="6"/>
    <n v="222.47"/>
    <n v="9"/>
    <n v="2002.23"/>
    <x v="367"/>
    <x v="497"/>
  </r>
  <r>
    <n v="23497"/>
    <x v="15"/>
    <x v="34"/>
    <n v="474.55"/>
    <n v="13"/>
    <n v="6169.15"/>
    <x v="525"/>
    <x v="491"/>
  </r>
  <r>
    <n v="62728"/>
    <x v="17"/>
    <x v="26"/>
    <n v="730.09"/>
    <n v="20"/>
    <n v="14601.8"/>
    <x v="526"/>
    <x v="498"/>
  </r>
  <r>
    <n v="83112"/>
    <x v="18"/>
    <x v="34"/>
    <n v="474.55"/>
    <n v="4"/>
    <n v="1898.2"/>
    <x v="527"/>
    <x v="273"/>
  </r>
  <r>
    <n v="35055"/>
    <x v="9"/>
    <x v="7"/>
    <n v="101.12"/>
    <n v="50"/>
    <n v="5056"/>
    <x v="85"/>
    <x v="74"/>
  </r>
  <r>
    <n v="96324"/>
    <x v="5"/>
    <x v="32"/>
    <n v="184.57"/>
    <n v="2"/>
    <n v="369.14"/>
    <x v="352"/>
    <x v="21"/>
  </r>
  <r>
    <n v="24749"/>
    <x v="7"/>
    <x v="27"/>
    <n v="399.32"/>
    <n v="13"/>
    <n v="5191.16"/>
    <x v="528"/>
    <x v="499"/>
  </r>
  <r>
    <n v="25293"/>
    <x v="19"/>
    <x v="1"/>
    <n v="683.98"/>
    <n v="24"/>
    <n v="16415.52"/>
    <x v="498"/>
    <x v="133"/>
  </r>
  <r>
    <n v="15196"/>
    <x v="5"/>
    <x v="11"/>
    <n v="988.47"/>
    <n v="10"/>
    <n v="9884.7000000000007"/>
    <x v="529"/>
    <x v="500"/>
  </r>
  <r>
    <n v="90021"/>
    <x v="1"/>
    <x v="0"/>
    <n v="855.99"/>
    <n v="33"/>
    <n v="28247.67"/>
    <x v="327"/>
    <x v="176"/>
  </r>
  <r>
    <n v="76092"/>
    <x v="14"/>
    <x v="26"/>
    <n v="730.09"/>
    <n v="47"/>
    <n v="34314.230000000003"/>
    <x v="469"/>
    <x v="312"/>
  </r>
  <r>
    <n v="64423"/>
    <x v="18"/>
    <x v="48"/>
    <n v="95.12"/>
    <n v="41"/>
    <n v="3899.92"/>
    <x v="419"/>
    <x v="501"/>
  </r>
  <r>
    <n v="98935"/>
    <x v="17"/>
    <x v="7"/>
    <n v="101.12"/>
    <n v="49"/>
    <n v="4954.88"/>
    <x v="296"/>
    <x v="209"/>
  </r>
  <r>
    <n v="64754"/>
    <x v="7"/>
    <x v="41"/>
    <n v="158.66999999999999"/>
    <n v="28"/>
    <n v="4442.76"/>
    <x v="446"/>
    <x v="253"/>
  </r>
  <r>
    <n v="98671"/>
    <x v="12"/>
    <x v="38"/>
    <n v="45.72"/>
    <n v="21"/>
    <n v="960.12"/>
    <x v="530"/>
    <x v="502"/>
  </r>
  <r>
    <n v="16299"/>
    <x v="3"/>
    <x v="39"/>
    <n v="402.36"/>
    <n v="20"/>
    <n v="8047.2"/>
    <x v="175"/>
    <x v="202"/>
  </r>
  <r>
    <n v="74827"/>
    <x v="8"/>
    <x v="25"/>
    <n v="972.24"/>
    <n v="5"/>
    <n v="4861.2"/>
    <x v="531"/>
    <x v="240"/>
  </r>
  <r>
    <n v="28063"/>
    <x v="10"/>
    <x v="49"/>
    <n v="761.92"/>
    <n v="35"/>
    <n v="26667.200000000001"/>
    <x v="174"/>
    <x v="434"/>
  </r>
  <r>
    <n v="65501"/>
    <x v="8"/>
    <x v="35"/>
    <n v="611.66"/>
    <n v="32"/>
    <n v="19573.12"/>
    <x v="24"/>
    <x v="474"/>
  </r>
  <r>
    <n v="81410"/>
    <x v="8"/>
    <x v="5"/>
    <n v="622.16"/>
    <n v="17"/>
    <n v="10576.72"/>
    <x v="532"/>
    <x v="148"/>
  </r>
  <r>
    <n v="42815"/>
    <x v="7"/>
    <x v="17"/>
    <n v="366.3"/>
    <n v="12"/>
    <n v="4395.6000000000004"/>
    <x v="533"/>
    <x v="503"/>
  </r>
  <r>
    <n v="17122"/>
    <x v="4"/>
    <x v="0"/>
    <n v="855.99"/>
    <n v="38"/>
    <n v="32527.62"/>
    <x v="124"/>
    <x v="280"/>
  </r>
  <r>
    <n v="84665"/>
    <x v="1"/>
    <x v="0"/>
    <n v="855.99"/>
    <n v="21"/>
    <n v="17975.79"/>
    <x v="333"/>
    <x v="75"/>
  </r>
  <r>
    <n v="34716"/>
    <x v="16"/>
    <x v="36"/>
    <n v="796.51"/>
    <n v="5"/>
    <n v="3982.55"/>
    <x v="360"/>
    <x v="382"/>
  </r>
  <r>
    <n v="89719"/>
    <x v="14"/>
    <x v="34"/>
    <n v="474.55"/>
    <n v="50"/>
    <n v="23727.5"/>
    <x v="534"/>
    <x v="504"/>
  </r>
  <r>
    <n v="33753"/>
    <x v="2"/>
    <x v="19"/>
    <n v="682.74"/>
    <n v="33"/>
    <n v="22530.42"/>
    <x v="209"/>
    <x v="132"/>
  </r>
  <r>
    <n v="18000"/>
    <x v="5"/>
    <x v="9"/>
    <n v="796.94"/>
    <n v="14"/>
    <n v="11157.16"/>
    <x v="535"/>
    <x v="254"/>
  </r>
  <r>
    <n v="91756"/>
    <x v="4"/>
    <x v="43"/>
    <n v="870.6"/>
    <n v="4"/>
    <n v="3482.4"/>
    <x v="342"/>
    <x v="505"/>
  </r>
  <r>
    <n v="87711"/>
    <x v="0"/>
    <x v="9"/>
    <n v="796.94"/>
    <n v="28"/>
    <n v="22314.32"/>
    <x v="536"/>
    <x v="188"/>
  </r>
  <r>
    <n v="76716"/>
    <x v="8"/>
    <x v="41"/>
    <n v="158.66999999999999"/>
    <n v="47"/>
    <n v="7457.49"/>
    <x v="177"/>
    <x v="506"/>
  </r>
  <r>
    <n v="68848"/>
    <x v="7"/>
    <x v="21"/>
    <n v="534.77"/>
    <n v="1"/>
    <n v="534.77"/>
    <x v="329"/>
    <x v="507"/>
  </r>
  <r>
    <n v="86221"/>
    <x v="6"/>
    <x v="48"/>
    <n v="95.12"/>
    <n v="50"/>
    <n v="4756"/>
    <x v="501"/>
    <x v="43"/>
  </r>
  <r>
    <n v="14394"/>
    <x v="13"/>
    <x v="10"/>
    <n v="233.83"/>
    <n v="1"/>
    <n v="233.83"/>
    <x v="537"/>
    <x v="90"/>
  </r>
  <r>
    <n v="44099"/>
    <x v="18"/>
    <x v="20"/>
    <n v="93.68"/>
    <n v="47"/>
    <n v="4402.96"/>
    <x v="126"/>
    <x v="198"/>
  </r>
  <r>
    <n v="85851"/>
    <x v="5"/>
    <x v="39"/>
    <n v="402.36"/>
    <n v="16"/>
    <n v="6437.76"/>
    <x v="114"/>
    <x v="450"/>
  </r>
  <r>
    <n v="56275"/>
    <x v="5"/>
    <x v="41"/>
    <n v="158.66999999999999"/>
    <n v="46"/>
    <n v="7298.82"/>
    <x v="136"/>
    <x v="508"/>
  </r>
  <r>
    <n v="45931"/>
    <x v="17"/>
    <x v="1"/>
    <n v="683.98"/>
    <n v="36"/>
    <n v="24623.279999999999"/>
    <x v="538"/>
    <x v="318"/>
  </r>
  <r>
    <n v="57217"/>
    <x v="14"/>
    <x v="0"/>
    <n v="855.99"/>
    <n v="36"/>
    <n v="30815.64"/>
    <x v="233"/>
    <x v="166"/>
  </r>
  <r>
    <n v="26218"/>
    <x v="5"/>
    <x v="38"/>
    <n v="45.72"/>
    <n v="30"/>
    <n v="1371.6"/>
    <x v="539"/>
    <x v="509"/>
  </r>
  <r>
    <n v="50847"/>
    <x v="19"/>
    <x v="29"/>
    <n v="404.9"/>
    <n v="25"/>
    <n v="10122.5"/>
    <x v="192"/>
    <x v="510"/>
  </r>
  <r>
    <n v="19777"/>
    <x v="5"/>
    <x v="9"/>
    <n v="796.94"/>
    <n v="32"/>
    <n v="25502.080000000002"/>
    <x v="540"/>
    <x v="231"/>
  </r>
  <r>
    <n v="80367"/>
    <x v="11"/>
    <x v="10"/>
    <n v="233.83"/>
    <n v="30"/>
    <n v="7014.9"/>
    <x v="42"/>
    <x v="511"/>
  </r>
  <r>
    <n v="48573"/>
    <x v="9"/>
    <x v="31"/>
    <n v="346.37"/>
    <n v="3"/>
    <n v="1039.1099999999999"/>
    <x v="436"/>
    <x v="271"/>
  </r>
  <r>
    <n v="80056"/>
    <x v="8"/>
    <x v="19"/>
    <n v="682.74"/>
    <n v="26"/>
    <n v="17751.240000000002"/>
    <x v="452"/>
    <x v="387"/>
  </r>
  <r>
    <n v="66930"/>
    <x v="11"/>
    <x v="14"/>
    <n v="112.52"/>
    <n v="46"/>
    <n v="5175.92"/>
    <x v="194"/>
    <x v="512"/>
  </r>
  <r>
    <n v="82857"/>
    <x v="3"/>
    <x v="36"/>
    <n v="796.51"/>
    <n v="22"/>
    <n v="17523.22"/>
    <x v="402"/>
    <x v="328"/>
  </r>
  <r>
    <n v="70695"/>
    <x v="11"/>
    <x v="7"/>
    <n v="101.12"/>
    <n v="46"/>
    <n v="4651.5200000000004"/>
    <x v="182"/>
    <x v="418"/>
  </r>
  <r>
    <n v="99343"/>
    <x v="18"/>
    <x v="6"/>
    <n v="222.47"/>
    <n v="27"/>
    <n v="6006.69"/>
    <x v="173"/>
    <x v="506"/>
  </r>
  <r>
    <n v="81563"/>
    <x v="0"/>
    <x v="9"/>
    <n v="796.94"/>
    <n v="48"/>
    <n v="38253.120000000003"/>
    <x v="541"/>
    <x v="249"/>
  </r>
  <r>
    <n v="44797"/>
    <x v="13"/>
    <x v="9"/>
    <n v="796.94"/>
    <n v="38"/>
    <n v="30283.72"/>
    <x v="542"/>
    <x v="123"/>
  </r>
  <r>
    <n v="52643"/>
    <x v="14"/>
    <x v="41"/>
    <n v="158.66999999999999"/>
    <n v="30"/>
    <n v="4760.1000000000004"/>
    <x v="64"/>
    <x v="269"/>
  </r>
  <r>
    <n v="51260"/>
    <x v="11"/>
    <x v="25"/>
    <n v="972.24"/>
    <n v="16"/>
    <n v="15555.84"/>
    <x v="349"/>
    <x v="41"/>
  </r>
  <r>
    <n v="33461"/>
    <x v="16"/>
    <x v="43"/>
    <n v="870.6"/>
    <n v="23"/>
    <n v="20023.8"/>
    <x v="119"/>
    <x v="19"/>
  </r>
  <r>
    <n v="95415"/>
    <x v="15"/>
    <x v="25"/>
    <n v="972.24"/>
    <n v="29"/>
    <n v="28194.959999999999"/>
    <x v="424"/>
    <x v="24"/>
  </r>
  <r>
    <n v="36541"/>
    <x v="8"/>
    <x v="12"/>
    <n v="875.47"/>
    <n v="45"/>
    <n v="39396.15"/>
    <x v="490"/>
    <x v="513"/>
  </r>
  <r>
    <n v="62412"/>
    <x v="1"/>
    <x v="11"/>
    <n v="988.47"/>
    <n v="18"/>
    <n v="17792.46"/>
    <x v="385"/>
    <x v="287"/>
  </r>
  <r>
    <n v="37349"/>
    <x v="1"/>
    <x v="2"/>
    <n v="68.05"/>
    <n v="13"/>
    <n v="884.65"/>
    <x v="401"/>
    <x v="514"/>
  </r>
  <r>
    <n v="14097"/>
    <x v="9"/>
    <x v="32"/>
    <n v="184.57"/>
    <n v="23"/>
    <n v="4245.1099999999997"/>
    <x v="323"/>
    <x v="173"/>
  </r>
  <r>
    <n v="41416"/>
    <x v="13"/>
    <x v="4"/>
    <n v="546.64"/>
    <n v="23"/>
    <n v="12572.72"/>
    <x v="405"/>
    <x v="233"/>
  </r>
  <r>
    <n v="64808"/>
    <x v="2"/>
    <x v="7"/>
    <n v="101.12"/>
    <n v="22"/>
    <n v="2224.64"/>
    <x v="435"/>
    <x v="445"/>
  </r>
  <r>
    <n v="42892"/>
    <x v="6"/>
    <x v="21"/>
    <n v="534.77"/>
    <n v="5"/>
    <n v="2673.85"/>
    <x v="240"/>
    <x v="128"/>
  </r>
  <r>
    <n v="36361"/>
    <x v="9"/>
    <x v="29"/>
    <n v="404.9"/>
    <n v="34"/>
    <n v="13766.6"/>
    <x v="543"/>
    <x v="478"/>
  </r>
  <r>
    <n v="30613"/>
    <x v="7"/>
    <x v="40"/>
    <n v="795.19"/>
    <n v="40"/>
    <n v="31807.599999999999"/>
    <x v="544"/>
    <x v="33"/>
  </r>
  <r>
    <n v="63440"/>
    <x v="4"/>
    <x v="8"/>
    <n v="596.97"/>
    <n v="47"/>
    <n v="28057.59"/>
    <x v="200"/>
    <x v="162"/>
  </r>
  <r>
    <n v="10104"/>
    <x v="2"/>
    <x v="33"/>
    <n v="705.68"/>
    <n v="49"/>
    <n v="34578.32"/>
    <x v="492"/>
    <x v="311"/>
  </r>
  <r>
    <n v="99603"/>
    <x v="18"/>
    <x v="45"/>
    <n v="890.84"/>
    <n v="6"/>
    <n v="5345.04"/>
    <x v="168"/>
    <x v="83"/>
  </r>
  <r>
    <n v="58309"/>
    <x v="5"/>
    <x v="19"/>
    <n v="682.74"/>
    <n v="22"/>
    <n v="15020.28"/>
    <x v="545"/>
    <x v="515"/>
  </r>
  <r>
    <n v="87600"/>
    <x v="11"/>
    <x v="33"/>
    <n v="705.68"/>
    <n v="28"/>
    <n v="19759.04"/>
    <x v="220"/>
    <x v="516"/>
  </r>
  <r>
    <n v="13490"/>
    <x v="0"/>
    <x v="18"/>
    <n v="617.33000000000004"/>
    <n v="1"/>
    <n v="617.33000000000004"/>
    <x v="539"/>
    <x v="27"/>
  </r>
  <r>
    <n v="91031"/>
    <x v="10"/>
    <x v="18"/>
    <n v="617.33000000000004"/>
    <n v="31"/>
    <n v="19137.23"/>
    <x v="524"/>
    <x v="426"/>
  </r>
  <r>
    <n v="12774"/>
    <x v="12"/>
    <x v="7"/>
    <n v="101.12"/>
    <n v="13"/>
    <n v="1314.56"/>
    <x v="331"/>
    <x v="512"/>
  </r>
  <r>
    <n v="10023"/>
    <x v="0"/>
    <x v="38"/>
    <n v="45.72"/>
    <n v="42"/>
    <n v="1920.24"/>
    <x v="489"/>
    <x v="346"/>
  </r>
  <r>
    <n v="71981"/>
    <x v="3"/>
    <x v="20"/>
    <n v="93.68"/>
    <n v="22"/>
    <n v="2060.96"/>
    <x v="491"/>
    <x v="517"/>
  </r>
  <r>
    <n v="17035"/>
    <x v="2"/>
    <x v="16"/>
    <n v="654.4"/>
    <n v="31"/>
    <n v="20286.400000000001"/>
    <x v="227"/>
    <x v="55"/>
  </r>
  <r>
    <n v="73079"/>
    <x v="1"/>
    <x v="26"/>
    <n v="730.09"/>
    <n v="46"/>
    <n v="33584.14"/>
    <x v="135"/>
    <x v="211"/>
  </r>
  <r>
    <n v="54449"/>
    <x v="17"/>
    <x v="34"/>
    <n v="474.55"/>
    <n v="20"/>
    <n v="9491"/>
    <x v="360"/>
    <x v="518"/>
  </r>
  <r>
    <n v="96863"/>
    <x v="13"/>
    <x v="21"/>
    <n v="534.77"/>
    <n v="50"/>
    <n v="26738.5"/>
    <x v="225"/>
    <x v="164"/>
  </r>
  <r>
    <n v="35188"/>
    <x v="18"/>
    <x v="39"/>
    <n v="402.36"/>
    <n v="9"/>
    <n v="3621.24"/>
    <x v="228"/>
    <x v="483"/>
  </r>
  <r>
    <n v="52446"/>
    <x v="6"/>
    <x v="2"/>
    <n v="68.05"/>
    <n v="43"/>
    <n v="2926.15"/>
    <x v="357"/>
    <x v="387"/>
  </r>
  <r>
    <n v="65060"/>
    <x v="3"/>
    <x v="17"/>
    <n v="366.3"/>
    <n v="34"/>
    <n v="12454.2"/>
    <x v="546"/>
    <x v="4"/>
  </r>
  <r>
    <n v="23519"/>
    <x v="16"/>
    <x v="9"/>
    <n v="796.94"/>
    <n v="9"/>
    <n v="7172.46"/>
    <x v="395"/>
    <x v="385"/>
  </r>
  <r>
    <n v="34981"/>
    <x v="5"/>
    <x v="3"/>
    <n v="449.74"/>
    <n v="35"/>
    <n v="15740.9"/>
    <x v="494"/>
    <x v="418"/>
  </r>
  <r>
    <n v="85862"/>
    <x v="7"/>
    <x v="49"/>
    <n v="761.92"/>
    <n v="27"/>
    <n v="20571.84"/>
    <x v="547"/>
    <x v="3"/>
  </r>
  <r>
    <n v="41062"/>
    <x v="18"/>
    <x v="47"/>
    <n v="325"/>
    <n v="48"/>
    <n v="15600"/>
    <x v="35"/>
    <x v="147"/>
  </r>
  <r>
    <n v="15898"/>
    <x v="5"/>
    <x v="17"/>
    <n v="366.3"/>
    <n v="24"/>
    <n v="8791.2000000000007"/>
    <x v="84"/>
    <x v="519"/>
  </r>
  <r>
    <n v="56442"/>
    <x v="11"/>
    <x v="3"/>
    <n v="449.74"/>
    <n v="7"/>
    <n v="3148.18"/>
    <x v="521"/>
    <x v="364"/>
  </r>
  <r>
    <n v="25333"/>
    <x v="4"/>
    <x v="30"/>
    <n v="988.73"/>
    <n v="21"/>
    <n v="20763.330000000002"/>
    <x v="389"/>
    <x v="274"/>
  </r>
  <r>
    <n v="95447"/>
    <x v="1"/>
    <x v="44"/>
    <n v="913.18"/>
    <n v="26"/>
    <n v="23742.68"/>
    <x v="367"/>
    <x v="150"/>
  </r>
  <r>
    <n v="10275"/>
    <x v="7"/>
    <x v="0"/>
    <n v="855.99"/>
    <n v="37"/>
    <n v="31671.63"/>
    <x v="511"/>
    <x v="257"/>
  </r>
  <r>
    <n v="45092"/>
    <x v="2"/>
    <x v="4"/>
    <n v="546.64"/>
    <n v="23"/>
    <n v="12572.72"/>
    <x v="234"/>
    <x v="520"/>
  </r>
  <r>
    <n v="25922"/>
    <x v="10"/>
    <x v="31"/>
    <n v="346.37"/>
    <n v="3"/>
    <n v="1039.1099999999999"/>
    <x v="34"/>
    <x v="39"/>
  </r>
  <r>
    <n v="29824"/>
    <x v="6"/>
    <x v="48"/>
    <n v="95.12"/>
    <n v="35"/>
    <n v="3329.2"/>
    <x v="468"/>
    <x v="521"/>
  </r>
  <r>
    <n v="40527"/>
    <x v="2"/>
    <x v="32"/>
    <n v="184.57"/>
    <n v="40"/>
    <n v="7382.8"/>
    <x v="139"/>
    <x v="522"/>
  </r>
  <r>
    <n v="48706"/>
    <x v="9"/>
    <x v="2"/>
    <n v="68.05"/>
    <n v="6"/>
    <n v="408.3"/>
    <x v="74"/>
    <x v="473"/>
  </r>
  <r>
    <n v="88750"/>
    <x v="13"/>
    <x v="43"/>
    <n v="870.6"/>
    <n v="29"/>
    <n v="25247.4"/>
    <x v="366"/>
    <x v="487"/>
  </r>
  <r>
    <n v="49303"/>
    <x v="1"/>
    <x v="34"/>
    <n v="474.55"/>
    <n v="13"/>
    <n v="6169.15"/>
    <x v="109"/>
    <x v="153"/>
  </r>
  <r>
    <n v="42037"/>
    <x v="15"/>
    <x v="11"/>
    <n v="988.47"/>
    <n v="26"/>
    <n v="25700.22"/>
    <x v="234"/>
    <x v="314"/>
  </r>
  <r>
    <n v="32167"/>
    <x v="5"/>
    <x v="16"/>
    <n v="654.4"/>
    <n v="3"/>
    <n v="1963.2"/>
    <x v="302"/>
    <x v="34"/>
  </r>
  <r>
    <n v="18776"/>
    <x v="18"/>
    <x v="21"/>
    <n v="534.77"/>
    <n v="23"/>
    <n v="12299.71"/>
    <x v="452"/>
    <x v="11"/>
  </r>
  <r>
    <n v="28123"/>
    <x v="8"/>
    <x v="31"/>
    <n v="346.37"/>
    <n v="31"/>
    <n v="10737.47"/>
    <x v="544"/>
    <x v="283"/>
  </r>
  <r>
    <n v="60108"/>
    <x v="17"/>
    <x v="34"/>
    <n v="474.55"/>
    <n v="12"/>
    <n v="5694.6"/>
    <x v="481"/>
    <x v="296"/>
  </r>
  <r>
    <n v="41641"/>
    <x v="18"/>
    <x v="35"/>
    <n v="611.66"/>
    <n v="18"/>
    <n v="11009.88"/>
    <x v="501"/>
    <x v="523"/>
  </r>
  <r>
    <n v="49047"/>
    <x v="5"/>
    <x v="9"/>
    <n v="796.94"/>
    <n v="38"/>
    <n v="30283.72"/>
    <x v="410"/>
    <x v="301"/>
  </r>
  <r>
    <n v="86591"/>
    <x v="15"/>
    <x v="37"/>
    <n v="753.12"/>
    <n v="4"/>
    <n v="3012.48"/>
    <x v="159"/>
    <x v="357"/>
  </r>
  <r>
    <n v="81848"/>
    <x v="10"/>
    <x v="9"/>
    <n v="796.94"/>
    <n v="43"/>
    <n v="34268.42"/>
    <x v="475"/>
    <x v="214"/>
  </r>
  <r>
    <n v="11044"/>
    <x v="8"/>
    <x v="29"/>
    <n v="404.9"/>
    <n v="40"/>
    <n v="16196"/>
    <x v="392"/>
    <x v="402"/>
  </r>
  <r>
    <n v="30992"/>
    <x v="13"/>
    <x v="20"/>
    <n v="93.68"/>
    <n v="39"/>
    <n v="3653.52"/>
    <x v="548"/>
    <x v="524"/>
  </r>
  <r>
    <n v="67822"/>
    <x v="7"/>
    <x v="40"/>
    <n v="795.19"/>
    <n v="34"/>
    <n v="27036.46"/>
    <x v="549"/>
    <x v="300"/>
  </r>
  <r>
    <n v="29764"/>
    <x v="15"/>
    <x v="46"/>
    <n v="346.4"/>
    <n v="22"/>
    <n v="7620.8"/>
    <x v="439"/>
    <x v="375"/>
  </r>
  <r>
    <n v="96235"/>
    <x v="4"/>
    <x v="34"/>
    <n v="474.55"/>
    <n v="30"/>
    <n v="14236.5"/>
    <x v="229"/>
    <x v="506"/>
  </r>
  <r>
    <n v="16806"/>
    <x v="11"/>
    <x v="24"/>
    <n v="323.73"/>
    <n v="36"/>
    <n v="11654.28"/>
    <x v="113"/>
    <x v="525"/>
  </r>
  <r>
    <n v="28485"/>
    <x v="17"/>
    <x v="13"/>
    <n v="110.41"/>
    <n v="27"/>
    <n v="2981.07"/>
    <x v="383"/>
    <x v="335"/>
  </r>
  <r>
    <n v="37195"/>
    <x v="7"/>
    <x v="20"/>
    <n v="93.68"/>
    <n v="10"/>
    <n v="936.8"/>
    <x v="550"/>
    <x v="230"/>
  </r>
  <r>
    <n v="48715"/>
    <x v="13"/>
    <x v="33"/>
    <n v="705.68"/>
    <n v="26"/>
    <n v="18347.68"/>
    <x v="551"/>
    <x v="175"/>
  </r>
  <r>
    <n v="60297"/>
    <x v="3"/>
    <x v="6"/>
    <n v="222.47"/>
    <n v="18"/>
    <n v="4004.46"/>
    <x v="552"/>
    <x v="526"/>
  </r>
  <r>
    <n v="37454"/>
    <x v="13"/>
    <x v="25"/>
    <n v="972.24"/>
    <n v="8"/>
    <n v="7777.92"/>
    <x v="231"/>
    <x v="213"/>
  </r>
  <r>
    <n v="59201"/>
    <x v="17"/>
    <x v="11"/>
    <n v="988.47"/>
    <n v="21"/>
    <n v="20757.87"/>
    <x v="5"/>
    <x v="217"/>
  </r>
  <r>
    <n v="15078"/>
    <x v="15"/>
    <x v="26"/>
    <n v="730.09"/>
    <n v="44"/>
    <n v="32123.96"/>
    <x v="163"/>
    <x v="264"/>
  </r>
  <r>
    <n v="79957"/>
    <x v="6"/>
    <x v="23"/>
    <n v="533.15"/>
    <n v="49"/>
    <n v="26124.35"/>
    <x v="303"/>
    <x v="57"/>
  </r>
  <r>
    <n v="66604"/>
    <x v="5"/>
    <x v="7"/>
    <n v="101.12"/>
    <n v="12"/>
    <n v="1213.44"/>
    <x v="20"/>
    <x v="306"/>
  </r>
  <r>
    <n v="82595"/>
    <x v="2"/>
    <x v="28"/>
    <n v="641.34"/>
    <n v="7"/>
    <n v="4489.38"/>
    <x v="259"/>
    <x v="527"/>
  </r>
  <r>
    <n v="68834"/>
    <x v="1"/>
    <x v="4"/>
    <n v="546.64"/>
    <n v="9"/>
    <n v="4919.76"/>
    <x v="452"/>
    <x v="100"/>
  </r>
  <r>
    <n v="29529"/>
    <x v="4"/>
    <x v="15"/>
    <n v="608.37"/>
    <n v="32"/>
    <n v="19467.84"/>
    <x v="412"/>
    <x v="423"/>
  </r>
  <r>
    <n v="76336"/>
    <x v="11"/>
    <x v="10"/>
    <n v="233.83"/>
    <n v="3"/>
    <n v="701.49"/>
    <x v="400"/>
    <x v="492"/>
  </r>
  <r>
    <n v="84006"/>
    <x v="16"/>
    <x v="16"/>
    <n v="654.4"/>
    <n v="7"/>
    <n v="4580.8"/>
    <x v="64"/>
    <x v="125"/>
  </r>
  <r>
    <n v="88218"/>
    <x v="2"/>
    <x v="33"/>
    <n v="705.68"/>
    <n v="28"/>
    <n v="19759.04"/>
    <x v="143"/>
    <x v="528"/>
  </r>
  <r>
    <n v="45527"/>
    <x v="15"/>
    <x v="40"/>
    <n v="795.19"/>
    <n v="20"/>
    <n v="15903.8"/>
    <x v="268"/>
    <x v="529"/>
  </r>
  <r>
    <n v="61692"/>
    <x v="17"/>
    <x v="5"/>
    <n v="622.16"/>
    <n v="4"/>
    <n v="2488.64"/>
    <x v="177"/>
    <x v="45"/>
  </r>
  <r>
    <n v="60618"/>
    <x v="5"/>
    <x v="13"/>
    <n v="110.41"/>
    <n v="33"/>
    <n v="3643.53"/>
    <x v="420"/>
    <x v="469"/>
  </r>
  <r>
    <n v="27478"/>
    <x v="16"/>
    <x v="10"/>
    <n v="233.83"/>
    <n v="20"/>
    <n v="4676.6000000000004"/>
    <x v="488"/>
    <x v="184"/>
  </r>
  <r>
    <n v="76035"/>
    <x v="7"/>
    <x v="46"/>
    <n v="346.4"/>
    <n v="25"/>
    <n v="8660"/>
    <x v="485"/>
    <x v="88"/>
  </r>
  <r>
    <n v="67834"/>
    <x v="4"/>
    <x v="5"/>
    <n v="622.16"/>
    <n v="39"/>
    <n v="24264.240000000002"/>
    <x v="553"/>
    <x v="191"/>
  </r>
  <r>
    <n v="29100"/>
    <x v="18"/>
    <x v="40"/>
    <n v="795.19"/>
    <n v="25"/>
    <n v="19879.75"/>
    <x v="554"/>
    <x v="357"/>
  </r>
  <r>
    <n v="64182"/>
    <x v="0"/>
    <x v="46"/>
    <n v="346.4"/>
    <n v="32"/>
    <n v="11084.8"/>
    <x v="162"/>
    <x v="168"/>
  </r>
  <r>
    <n v="74411"/>
    <x v="7"/>
    <x v="0"/>
    <n v="855.99"/>
    <n v="19"/>
    <n v="16263.81"/>
    <x v="86"/>
    <x v="530"/>
  </r>
  <r>
    <n v="49483"/>
    <x v="13"/>
    <x v="10"/>
    <n v="233.83"/>
    <n v="50"/>
    <n v="11691.5"/>
    <x v="555"/>
    <x v="13"/>
  </r>
  <r>
    <n v="59215"/>
    <x v="12"/>
    <x v="27"/>
    <n v="399.32"/>
    <n v="48"/>
    <n v="19167.36"/>
    <x v="556"/>
    <x v="531"/>
  </r>
  <r>
    <n v="43698"/>
    <x v="11"/>
    <x v="8"/>
    <n v="596.97"/>
    <n v="26"/>
    <n v="15521.22"/>
    <x v="424"/>
    <x v="117"/>
  </r>
  <r>
    <n v="78708"/>
    <x v="0"/>
    <x v="1"/>
    <n v="683.98"/>
    <n v="4"/>
    <n v="2735.92"/>
    <x v="44"/>
    <x v="524"/>
  </r>
  <r>
    <n v="60782"/>
    <x v="9"/>
    <x v="8"/>
    <n v="596.97"/>
    <n v="43"/>
    <n v="25669.71"/>
    <x v="132"/>
    <x v="213"/>
  </r>
  <r>
    <n v="82940"/>
    <x v="11"/>
    <x v="15"/>
    <n v="608.37"/>
    <n v="43"/>
    <n v="26159.91"/>
    <x v="458"/>
    <x v="359"/>
  </r>
  <r>
    <n v="77244"/>
    <x v="13"/>
    <x v="27"/>
    <n v="399.32"/>
    <n v="41"/>
    <n v="16372.12"/>
    <x v="299"/>
    <x v="385"/>
  </r>
  <r>
    <n v="16945"/>
    <x v="9"/>
    <x v="14"/>
    <n v="112.52"/>
    <n v="38"/>
    <n v="4275.76"/>
    <x v="557"/>
    <x v="139"/>
  </r>
  <r>
    <n v="48607"/>
    <x v="8"/>
    <x v="12"/>
    <n v="875.47"/>
    <n v="13"/>
    <n v="11381.11"/>
    <x v="558"/>
    <x v="103"/>
  </r>
  <r>
    <n v="11708"/>
    <x v="8"/>
    <x v="39"/>
    <n v="402.36"/>
    <n v="39"/>
    <n v="15692.04"/>
    <x v="498"/>
    <x v="474"/>
  </r>
  <r>
    <n v="13374"/>
    <x v="17"/>
    <x v="5"/>
    <n v="622.16"/>
    <n v="27"/>
    <n v="16798.32"/>
    <x v="447"/>
    <x v="124"/>
  </r>
  <r>
    <n v="77882"/>
    <x v="12"/>
    <x v="14"/>
    <n v="112.52"/>
    <n v="3"/>
    <n v="337.56"/>
    <x v="559"/>
    <x v="532"/>
  </r>
  <r>
    <n v="69995"/>
    <x v="18"/>
    <x v="10"/>
    <n v="233.83"/>
    <n v="6"/>
    <n v="1402.98"/>
    <x v="361"/>
    <x v="69"/>
  </r>
  <r>
    <n v="48949"/>
    <x v="19"/>
    <x v="16"/>
    <n v="654.4"/>
    <n v="18"/>
    <n v="11779.2"/>
    <x v="86"/>
    <x v="256"/>
  </r>
  <r>
    <n v="56249"/>
    <x v="17"/>
    <x v="34"/>
    <n v="474.55"/>
    <n v="4"/>
    <n v="1898.2"/>
    <x v="370"/>
    <x v="511"/>
  </r>
  <r>
    <n v="56328"/>
    <x v="2"/>
    <x v="36"/>
    <n v="796.51"/>
    <n v="49"/>
    <n v="39028.99"/>
    <x v="25"/>
    <x v="224"/>
  </r>
  <r>
    <n v="35480"/>
    <x v="6"/>
    <x v="14"/>
    <n v="112.52"/>
    <n v="50"/>
    <n v="5626"/>
    <x v="13"/>
    <x v="118"/>
  </r>
  <r>
    <n v="40804"/>
    <x v="5"/>
    <x v="28"/>
    <n v="641.34"/>
    <n v="20"/>
    <n v="12826.8"/>
    <x v="468"/>
    <x v="431"/>
  </r>
  <r>
    <n v="73796"/>
    <x v="14"/>
    <x v="0"/>
    <n v="855.99"/>
    <n v="28"/>
    <n v="23967.72"/>
    <x v="34"/>
    <x v="311"/>
  </r>
  <r>
    <n v="65836"/>
    <x v="13"/>
    <x v="22"/>
    <n v="468.95"/>
    <n v="22"/>
    <n v="10316.9"/>
    <x v="104"/>
    <x v="533"/>
  </r>
  <r>
    <n v="70243"/>
    <x v="17"/>
    <x v="40"/>
    <n v="795.19"/>
    <n v="16"/>
    <n v="12723.04"/>
    <x v="560"/>
    <x v="534"/>
  </r>
  <r>
    <n v="21507"/>
    <x v="14"/>
    <x v="34"/>
    <n v="474.55"/>
    <n v="21"/>
    <n v="9965.5499999999993"/>
    <x v="248"/>
    <x v="346"/>
  </r>
  <r>
    <n v="39273"/>
    <x v="18"/>
    <x v="32"/>
    <n v="184.57"/>
    <n v="36"/>
    <n v="6644.52"/>
    <x v="561"/>
    <x v="431"/>
  </r>
  <r>
    <n v="57312"/>
    <x v="17"/>
    <x v="48"/>
    <n v="95.12"/>
    <n v="28"/>
    <n v="2663.36"/>
    <x v="225"/>
    <x v="168"/>
  </r>
  <r>
    <n v="35200"/>
    <x v="13"/>
    <x v="2"/>
    <n v="68.05"/>
    <n v="4"/>
    <n v="272.2"/>
    <x v="313"/>
    <x v="61"/>
  </r>
  <r>
    <n v="12827"/>
    <x v="8"/>
    <x v="4"/>
    <n v="546.64"/>
    <n v="26"/>
    <n v="14212.64"/>
    <x v="399"/>
    <x v="286"/>
  </r>
  <r>
    <n v="72981"/>
    <x v="11"/>
    <x v="20"/>
    <n v="93.68"/>
    <n v="25"/>
    <n v="2342"/>
    <x v="562"/>
    <x v="290"/>
  </r>
  <r>
    <n v="97477"/>
    <x v="1"/>
    <x v="25"/>
    <n v="972.24"/>
    <n v="7"/>
    <n v="6805.68"/>
    <x v="182"/>
    <x v="246"/>
  </r>
  <r>
    <n v="69317"/>
    <x v="19"/>
    <x v="31"/>
    <n v="346.37"/>
    <n v="40"/>
    <n v="13854.8"/>
    <x v="146"/>
    <x v="135"/>
  </r>
  <r>
    <n v="20096"/>
    <x v="8"/>
    <x v="35"/>
    <n v="611.66"/>
    <n v="16"/>
    <n v="9786.56"/>
    <x v="563"/>
    <x v="127"/>
  </r>
  <r>
    <n v="69091"/>
    <x v="7"/>
    <x v="29"/>
    <n v="404.9"/>
    <n v="41"/>
    <n v="16600.900000000001"/>
    <x v="82"/>
    <x v="535"/>
  </r>
  <r>
    <n v="89796"/>
    <x v="10"/>
    <x v="44"/>
    <n v="913.18"/>
    <n v="27"/>
    <n v="24655.86"/>
    <x v="563"/>
    <x v="405"/>
  </r>
  <r>
    <n v="56718"/>
    <x v="9"/>
    <x v="31"/>
    <n v="346.37"/>
    <n v="12"/>
    <n v="4156.4399999999996"/>
    <x v="279"/>
    <x v="390"/>
  </r>
  <r>
    <n v="30658"/>
    <x v="2"/>
    <x v="17"/>
    <n v="366.3"/>
    <n v="1"/>
    <n v="366.3"/>
    <x v="450"/>
    <x v="44"/>
  </r>
  <r>
    <n v="70885"/>
    <x v="17"/>
    <x v="26"/>
    <n v="730.09"/>
    <n v="10"/>
    <n v="7300.9"/>
    <x v="559"/>
    <x v="349"/>
  </r>
  <r>
    <n v="47939"/>
    <x v="15"/>
    <x v="6"/>
    <n v="222.47"/>
    <n v="15"/>
    <n v="3337.05"/>
    <x v="500"/>
    <x v="174"/>
  </r>
  <r>
    <n v="42933"/>
    <x v="1"/>
    <x v="29"/>
    <n v="404.9"/>
    <n v="9"/>
    <n v="3644.1"/>
    <x v="309"/>
    <x v="536"/>
  </r>
  <r>
    <n v="87510"/>
    <x v="17"/>
    <x v="42"/>
    <n v="430.1"/>
    <n v="2"/>
    <n v="860.2"/>
    <x v="516"/>
    <x v="189"/>
  </r>
  <r>
    <n v="46401"/>
    <x v="15"/>
    <x v="49"/>
    <n v="761.92"/>
    <n v="12"/>
    <n v="9143.0400000000009"/>
    <x v="421"/>
    <x v="18"/>
  </r>
  <r>
    <n v="33885"/>
    <x v="11"/>
    <x v="44"/>
    <n v="913.18"/>
    <n v="3"/>
    <n v="2739.54"/>
    <x v="231"/>
    <x v="229"/>
  </r>
  <r>
    <n v="57330"/>
    <x v="9"/>
    <x v="37"/>
    <n v="753.12"/>
    <n v="12"/>
    <n v="9037.44"/>
    <x v="234"/>
    <x v="537"/>
  </r>
  <r>
    <n v="72312"/>
    <x v="15"/>
    <x v="49"/>
    <n v="761.92"/>
    <n v="13"/>
    <n v="9904.9599999999991"/>
    <x v="112"/>
    <x v="428"/>
  </r>
  <r>
    <n v="92259"/>
    <x v="15"/>
    <x v="28"/>
    <n v="641.34"/>
    <n v="5"/>
    <n v="3206.7"/>
    <x v="359"/>
    <x v="538"/>
  </r>
  <r>
    <n v="75119"/>
    <x v="3"/>
    <x v="20"/>
    <n v="93.68"/>
    <n v="50"/>
    <n v="4684"/>
    <x v="564"/>
    <x v="343"/>
  </r>
  <r>
    <n v="50963"/>
    <x v="14"/>
    <x v="25"/>
    <n v="972.24"/>
    <n v="39"/>
    <n v="37917.360000000001"/>
    <x v="537"/>
    <x v="90"/>
  </r>
  <r>
    <n v="98142"/>
    <x v="6"/>
    <x v="49"/>
    <n v="761.92"/>
    <n v="40"/>
    <n v="30476.799999999999"/>
    <x v="565"/>
    <x v="354"/>
  </r>
  <r>
    <n v="46576"/>
    <x v="1"/>
    <x v="24"/>
    <n v="323.73"/>
    <n v="41"/>
    <n v="13272.93"/>
    <x v="163"/>
    <x v="122"/>
  </r>
  <r>
    <n v="14091"/>
    <x v="15"/>
    <x v="25"/>
    <n v="972.24"/>
    <n v="42"/>
    <n v="40834.080000000002"/>
    <x v="343"/>
    <x v="91"/>
  </r>
  <r>
    <n v="33103"/>
    <x v="14"/>
    <x v="33"/>
    <n v="705.68"/>
    <n v="35"/>
    <n v="24698.799999999999"/>
    <x v="566"/>
    <x v="539"/>
  </r>
  <r>
    <n v="12650"/>
    <x v="11"/>
    <x v="13"/>
    <n v="110.41"/>
    <n v="14"/>
    <n v="1545.74"/>
    <x v="266"/>
    <x v="540"/>
  </r>
  <r>
    <n v="33363"/>
    <x v="17"/>
    <x v="27"/>
    <n v="399.32"/>
    <n v="33"/>
    <n v="13177.56"/>
    <x v="247"/>
    <x v="529"/>
  </r>
  <r>
    <n v="89166"/>
    <x v="13"/>
    <x v="31"/>
    <n v="346.37"/>
    <n v="33"/>
    <n v="11430.21"/>
    <x v="368"/>
    <x v="298"/>
  </r>
  <r>
    <n v="60532"/>
    <x v="14"/>
    <x v="29"/>
    <n v="404.9"/>
    <n v="18"/>
    <n v="7288.2"/>
    <x v="107"/>
    <x v="216"/>
  </r>
  <r>
    <n v="53813"/>
    <x v="14"/>
    <x v="25"/>
    <n v="972.24"/>
    <n v="45"/>
    <n v="43750.8"/>
    <x v="567"/>
    <x v="254"/>
  </r>
  <r>
    <n v="29165"/>
    <x v="18"/>
    <x v="30"/>
    <n v="988.73"/>
    <n v="18"/>
    <n v="17797.14"/>
    <x v="165"/>
    <x v="417"/>
  </r>
  <r>
    <n v="67163"/>
    <x v="0"/>
    <x v="43"/>
    <n v="870.6"/>
    <n v="33"/>
    <n v="28729.8"/>
    <x v="120"/>
    <x v="427"/>
  </r>
  <r>
    <n v="28097"/>
    <x v="19"/>
    <x v="37"/>
    <n v="753.12"/>
    <n v="40"/>
    <n v="30124.799999999999"/>
    <x v="216"/>
    <x v="64"/>
  </r>
  <r>
    <n v="87073"/>
    <x v="6"/>
    <x v="9"/>
    <n v="796.94"/>
    <n v="6"/>
    <n v="4781.6400000000003"/>
    <x v="258"/>
    <x v="437"/>
  </r>
  <r>
    <n v="56949"/>
    <x v="16"/>
    <x v="31"/>
    <n v="346.37"/>
    <n v="5"/>
    <n v="1731.85"/>
    <x v="185"/>
    <x v="469"/>
  </r>
  <r>
    <n v="86700"/>
    <x v="16"/>
    <x v="40"/>
    <n v="795.19"/>
    <n v="40"/>
    <n v="31807.599999999999"/>
    <x v="568"/>
    <x v="541"/>
  </r>
  <r>
    <n v="88891"/>
    <x v="2"/>
    <x v="38"/>
    <n v="45.72"/>
    <n v="23"/>
    <n v="1051.56"/>
    <x v="135"/>
    <x v="210"/>
  </r>
  <r>
    <n v="53363"/>
    <x v="13"/>
    <x v="26"/>
    <n v="730.09"/>
    <n v="31"/>
    <n v="22632.79"/>
    <x v="211"/>
    <x v="463"/>
  </r>
  <r>
    <n v="16018"/>
    <x v="0"/>
    <x v="28"/>
    <n v="641.34"/>
    <n v="39"/>
    <n v="25012.26"/>
    <x v="210"/>
    <x v="542"/>
  </r>
  <r>
    <n v="61483"/>
    <x v="9"/>
    <x v="21"/>
    <n v="534.77"/>
    <n v="34"/>
    <n v="18182.18"/>
    <x v="568"/>
    <x v="543"/>
  </r>
  <r>
    <n v="64918"/>
    <x v="6"/>
    <x v="14"/>
    <n v="112.52"/>
    <n v="16"/>
    <n v="1800.32"/>
    <x v="306"/>
    <x v="544"/>
  </r>
  <r>
    <n v="47483"/>
    <x v="15"/>
    <x v="8"/>
    <n v="596.97"/>
    <n v="8"/>
    <n v="4775.76"/>
    <x v="540"/>
    <x v="446"/>
  </r>
  <r>
    <n v="38096"/>
    <x v="14"/>
    <x v="19"/>
    <n v="682.74"/>
    <n v="42"/>
    <n v="28675.08"/>
    <x v="569"/>
    <x v="545"/>
  </r>
  <r>
    <n v="78404"/>
    <x v="19"/>
    <x v="23"/>
    <n v="533.15"/>
    <n v="6"/>
    <n v="3198.9"/>
    <x v="230"/>
    <x v="546"/>
  </r>
  <r>
    <n v="83081"/>
    <x v="19"/>
    <x v="14"/>
    <n v="112.52"/>
    <n v="20"/>
    <n v="2250.4"/>
    <x v="267"/>
    <x v="30"/>
  </r>
  <r>
    <n v="82858"/>
    <x v="6"/>
    <x v="15"/>
    <n v="608.37"/>
    <n v="27"/>
    <n v="16425.990000000002"/>
    <x v="225"/>
    <x v="321"/>
  </r>
  <r>
    <n v="74054"/>
    <x v="14"/>
    <x v="26"/>
    <n v="730.09"/>
    <n v="19"/>
    <n v="13871.71"/>
    <x v="557"/>
    <x v="405"/>
  </r>
  <r>
    <n v="61825"/>
    <x v="13"/>
    <x v="26"/>
    <n v="730.09"/>
    <n v="10"/>
    <n v="7300.9"/>
    <x v="24"/>
    <x v="492"/>
  </r>
  <r>
    <n v="99026"/>
    <x v="18"/>
    <x v="12"/>
    <n v="875.47"/>
    <n v="42"/>
    <n v="36769.74"/>
    <x v="570"/>
    <x v="237"/>
  </r>
  <r>
    <n v="81562"/>
    <x v="19"/>
    <x v="12"/>
    <n v="875.47"/>
    <n v="45"/>
    <n v="39396.15"/>
    <x v="107"/>
    <x v="547"/>
  </r>
  <r>
    <n v="17781"/>
    <x v="13"/>
    <x v="12"/>
    <n v="875.47"/>
    <n v="30"/>
    <n v="26264.1"/>
    <x v="188"/>
    <x v="122"/>
  </r>
  <r>
    <n v="40551"/>
    <x v="11"/>
    <x v="15"/>
    <n v="608.37"/>
    <n v="45"/>
    <n v="27376.65"/>
    <x v="6"/>
    <x v="61"/>
  </r>
  <r>
    <n v="94376"/>
    <x v="18"/>
    <x v="25"/>
    <n v="972.24"/>
    <n v="5"/>
    <n v="4861.2"/>
    <x v="522"/>
    <x v="339"/>
  </r>
  <r>
    <n v="44873"/>
    <x v="2"/>
    <x v="27"/>
    <n v="399.32"/>
    <n v="17"/>
    <n v="6788.44"/>
    <x v="571"/>
    <x v="528"/>
  </r>
  <r>
    <n v="67390"/>
    <x v="18"/>
    <x v="43"/>
    <n v="870.6"/>
    <n v="29"/>
    <n v="25247.4"/>
    <x v="500"/>
    <x v="49"/>
  </r>
  <r>
    <n v="79280"/>
    <x v="6"/>
    <x v="36"/>
    <n v="796.51"/>
    <n v="45"/>
    <n v="35842.949999999997"/>
    <x v="572"/>
    <x v="475"/>
  </r>
  <r>
    <n v="88177"/>
    <x v="16"/>
    <x v="35"/>
    <n v="611.66"/>
    <n v="6"/>
    <n v="3669.96"/>
    <x v="342"/>
    <x v="17"/>
  </r>
  <r>
    <n v="23836"/>
    <x v="10"/>
    <x v="9"/>
    <n v="796.94"/>
    <n v="16"/>
    <n v="12751.04"/>
    <x v="248"/>
    <x v="414"/>
  </r>
  <r>
    <n v="72090"/>
    <x v="9"/>
    <x v="25"/>
    <n v="972.24"/>
    <n v="48"/>
    <n v="46667.519999999997"/>
    <x v="573"/>
    <x v="48"/>
  </r>
  <r>
    <n v="43820"/>
    <x v="1"/>
    <x v="0"/>
    <n v="855.99"/>
    <n v="19"/>
    <n v="16263.81"/>
    <x v="574"/>
    <x v="237"/>
  </r>
  <r>
    <n v="41210"/>
    <x v="15"/>
    <x v="38"/>
    <n v="45.72"/>
    <n v="9"/>
    <n v="411.48"/>
    <x v="575"/>
    <x v="548"/>
  </r>
  <r>
    <n v="22997"/>
    <x v="16"/>
    <x v="28"/>
    <n v="641.34"/>
    <n v="27"/>
    <n v="17316.18"/>
    <x v="576"/>
    <x v="213"/>
  </r>
  <r>
    <n v="75703"/>
    <x v="10"/>
    <x v="2"/>
    <n v="68.05"/>
    <n v="4"/>
    <n v="272.2"/>
    <x v="215"/>
    <x v="350"/>
  </r>
  <r>
    <n v="88853"/>
    <x v="6"/>
    <x v="32"/>
    <n v="184.57"/>
    <n v="25"/>
    <n v="4614.25"/>
    <x v="108"/>
    <x v="297"/>
  </r>
  <r>
    <n v="18453"/>
    <x v="12"/>
    <x v="16"/>
    <n v="654.4"/>
    <n v="37"/>
    <n v="24212.799999999999"/>
    <x v="29"/>
    <x v="235"/>
  </r>
  <r>
    <n v="23168"/>
    <x v="11"/>
    <x v="21"/>
    <n v="534.77"/>
    <n v="2"/>
    <n v="1069.54"/>
    <x v="432"/>
    <x v="549"/>
  </r>
  <r>
    <n v="35409"/>
    <x v="16"/>
    <x v="10"/>
    <n v="233.83"/>
    <n v="37"/>
    <n v="8651.7099999999991"/>
    <x v="448"/>
    <x v="539"/>
  </r>
  <r>
    <n v="86808"/>
    <x v="13"/>
    <x v="34"/>
    <n v="474.55"/>
    <n v="2"/>
    <n v="949.1"/>
    <x v="577"/>
    <x v="357"/>
  </r>
  <r>
    <n v="19309"/>
    <x v="17"/>
    <x v="18"/>
    <n v="617.33000000000004"/>
    <n v="29"/>
    <n v="17902.57"/>
    <x v="103"/>
    <x v="156"/>
  </r>
  <r>
    <n v="65205"/>
    <x v="0"/>
    <x v="32"/>
    <n v="184.57"/>
    <n v="2"/>
    <n v="369.14"/>
    <x v="506"/>
    <x v="189"/>
  </r>
  <r>
    <n v="91356"/>
    <x v="5"/>
    <x v="44"/>
    <n v="913.18"/>
    <n v="10"/>
    <n v="9131.7999999999993"/>
    <x v="159"/>
    <x v="550"/>
  </r>
  <r>
    <n v="59537"/>
    <x v="19"/>
    <x v="41"/>
    <n v="158.66999999999999"/>
    <n v="43"/>
    <n v="6822.81"/>
    <x v="578"/>
    <x v="0"/>
  </r>
  <r>
    <n v="18749"/>
    <x v="18"/>
    <x v="6"/>
    <n v="222.47"/>
    <n v="12"/>
    <n v="2669.64"/>
    <x v="225"/>
    <x v="551"/>
  </r>
  <r>
    <n v="78165"/>
    <x v="18"/>
    <x v="24"/>
    <n v="323.73"/>
    <n v="26"/>
    <n v="8416.98"/>
    <x v="579"/>
    <x v="552"/>
  </r>
  <r>
    <n v="22529"/>
    <x v="13"/>
    <x v="12"/>
    <n v="875.47"/>
    <n v="16"/>
    <n v="14007.52"/>
    <x v="30"/>
    <x v="553"/>
  </r>
  <r>
    <n v="37093"/>
    <x v="1"/>
    <x v="9"/>
    <n v="796.94"/>
    <n v="22"/>
    <n v="17532.68"/>
    <x v="268"/>
    <x v="554"/>
  </r>
  <r>
    <n v="91867"/>
    <x v="11"/>
    <x v="24"/>
    <n v="323.73"/>
    <n v="3"/>
    <n v="971.19"/>
    <x v="448"/>
    <x v="323"/>
  </r>
  <r>
    <n v="17180"/>
    <x v="7"/>
    <x v="1"/>
    <n v="683.98"/>
    <n v="4"/>
    <n v="2735.92"/>
    <x v="510"/>
    <x v="274"/>
  </r>
  <r>
    <n v="39916"/>
    <x v="19"/>
    <x v="35"/>
    <n v="611.66"/>
    <n v="49"/>
    <n v="29971.34"/>
    <x v="423"/>
    <x v="40"/>
  </r>
  <r>
    <n v="95684"/>
    <x v="17"/>
    <x v="0"/>
    <n v="855.99"/>
    <n v="27"/>
    <n v="23111.73"/>
    <x v="293"/>
    <x v="555"/>
  </r>
  <r>
    <n v="21867"/>
    <x v="12"/>
    <x v="15"/>
    <n v="608.37"/>
    <n v="38"/>
    <n v="23118.06"/>
    <x v="547"/>
    <x v="170"/>
  </r>
  <r>
    <n v="20190"/>
    <x v="18"/>
    <x v="5"/>
    <n v="622.16"/>
    <n v="35"/>
    <n v="21775.599999999999"/>
    <x v="275"/>
    <x v="508"/>
  </r>
  <r>
    <n v="48744"/>
    <x v="2"/>
    <x v="13"/>
    <n v="110.41"/>
    <n v="7"/>
    <n v="772.87"/>
    <x v="325"/>
    <x v="36"/>
  </r>
  <r>
    <n v="83441"/>
    <x v="9"/>
    <x v="43"/>
    <n v="870.6"/>
    <n v="12"/>
    <n v="10447.200000000001"/>
    <x v="377"/>
    <x v="556"/>
  </r>
  <r>
    <n v="87362"/>
    <x v="3"/>
    <x v="14"/>
    <n v="112.52"/>
    <n v="23"/>
    <n v="2587.96"/>
    <x v="236"/>
    <x v="557"/>
  </r>
  <r>
    <n v="68533"/>
    <x v="6"/>
    <x v="21"/>
    <n v="534.77"/>
    <n v="39"/>
    <n v="20856.03"/>
    <x v="132"/>
    <x v="19"/>
  </r>
  <r>
    <n v="38978"/>
    <x v="14"/>
    <x v="47"/>
    <n v="325"/>
    <n v="44"/>
    <n v="14300"/>
    <x v="580"/>
    <x v="91"/>
  </r>
  <r>
    <n v="49936"/>
    <x v="3"/>
    <x v="21"/>
    <n v="534.77"/>
    <n v="12"/>
    <n v="6417.24"/>
    <x v="141"/>
    <x v="520"/>
  </r>
  <r>
    <n v="44167"/>
    <x v="8"/>
    <x v="16"/>
    <n v="654.4"/>
    <n v="21"/>
    <n v="13742.4"/>
    <x v="91"/>
    <x v="373"/>
  </r>
  <r>
    <n v="29248"/>
    <x v="9"/>
    <x v="29"/>
    <n v="404.9"/>
    <n v="12"/>
    <n v="4858.8"/>
    <x v="581"/>
    <x v="180"/>
  </r>
  <r>
    <n v="38165"/>
    <x v="14"/>
    <x v="12"/>
    <n v="875.47"/>
    <n v="28"/>
    <n v="24513.16"/>
    <x v="60"/>
    <x v="73"/>
  </r>
  <r>
    <n v="48834"/>
    <x v="6"/>
    <x v="44"/>
    <n v="913.18"/>
    <n v="28"/>
    <n v="25569.040000000001"/>
    <x v="71"/>
    <x v="558"/>
  </r>
  <r>
    <n v="14757"/>
    <x v="6"/>
    <x v="19"/>
    <n v="682.74"/>
    <n v="32"/>
    <n v="21847.68"/>
    <x v="404"/>
    <x v="457"/>
  </r>
  <r>
    <n v="55730"/>
    <x v="12"/>
    <x v="28"/>
    <n v="641.34"/>
    <n v="29"/>
    <n v="18598.86"/>
    <x v="582"/>
    <x v="279"/>
  </r>
  <r>
    <n v="88585"/>
    <x v="17"/>
    <x v="4"/>
    <n v="546.64"/>
    <n v="40"/>
    <n v="21865.599999999999"/>
    <x v="583"/>
    <x v="173"/>
  </r>
  <r>
    <n v="39342"/>
    <x v="14"/>
    <x v="44"/>
    <n v="913.18"/>
    <n v="10"/>
    <n v="9131.7999999999993"/>
    <x v="507"/>
    <x v="329"/>
  </r>
  <r>
    <n v="95665"/>
    <x v="16"/>
    <x v="29"/>
    <n v="404.9"/>
    <n v="6"/>
    <n v="2429.4"/>
    <x v="579"/>
    <x v="538"/>
  </r>
  <r>
    <n v="77536"/>
    <x v="10"/>
    <x v="13"/>
    <n v="110.41"/>
    <n v="32"/>
    <n v="3533.12"/>
    <x v="548"/>
    <x v="266"/>
  </r>
  <r>
    <n v="24310"/>
    <x v="2"/>
    <x v="1"/>
    <n v="683.98"/>
    <n v="28"/>
    <n v="19151.439999999999"/>
    <x v="584"/>
    <x v="177"/>
  </r>
  <r>
    <n v="34582"/>
    <x v="3"/>
    <x v="40"/>
    <n v="795.19"/>
    <n v="12"/>
    <n v="9542.2800000000007"/>
    <x v="520"/>
    <x v="67"/>
  </r>
  <r>
    <n v="65334"/>
    <x v="17"/>
    <x v="9"/>
    <n v="796.94"/>
    <n v="8"/>
    <n v="6375.52"/>
    <x v="565"/>
    <x v="454"/>
  </r>
  <r>
    <n v="70484"/>
    <x v="11"/>
    <x v="27"/>
    <n v="399.32"/>
    <n v="35"/>
    <n v="13976.2"/>
    <x v="74"/>
    <x v="559"/>
  </r>
  <r>
    <n v="75027"/>
    <x v="12"/>
    <x v="43"/>
    <n v="870.6"/>
    <n v="9"/>
    <n v="7835.4"/>
    <x v="532"/>
    <x v="169"/>
  </r>
  <r>
    <n v="20155"/>
    <x v="12"/>
    <x v="14"/>
    <n v="112.52"/>
    <n v="50"/>
    <n v="5626"/>
    <x v="476"/>
    <x v="178"/>
  </r>
  <r>
    <n v="40959"/>
    <x v="3"/>
    <x v="29"/>
    <n v="404.9"/>
    <n v="30"/>
    <n v="12147"/>
    <x v="369"/>
    <x v="243"/>
  </r>
  <r>
    <n v="30482"/>
    <x v="16"/>
    <x v="15"/>
    <n v="608.37"/>
    <n v="25"/>
    <n v="15209.25"/>
    <x v="275"/>
    <x v="560"/>
  </r>
  <r>
    <n v="48787"/>
    <x v="8"/>
    <x v="39"/>
    <n v="402.36"/>
    <n v="18"/>
    <n v="7242.48"/>
    <x v="108"/>
    <x v="79"/>
  </r>
  <r>
    <n v="51858"/>
    <x v="3"/>
    <x v="30"/>
    <n v="988.73"/>
    <n v="35"/>
    <n v="34605.550000000003"/>
    <x v="319"/>
    <x v="487"/>
  </r>
  <r>
    <n v="55536"/>
    <x v="0"/>
    <x v="31"/>
    <n v="346.37"/>
    <n v="39"/>
    <n v="13508.43"/>
    <x v="585"/>
    <x v="74"/>
  </r>
  <r>
    <n v="28979"/>
    <x v="13"/>
    <x v="4"/>
    <n v="546.64"/>
    <n v="29"/>
    <n v="15852.56"/>
    <x v="32"/>
    <x v="281"/>
  </r>
  <r>
    <n v="64776"/>
    <x v="11"/>
    <x v="19"/>
    <n v="682.74"/>
    <n v="40"/>
    <n v="27309.599999999999"/>
    <x v="284"/>
    <x v="171"/>
  </r>
  <r>
    <n v="45753"/>
    <x v="3"/>
    <x v="9"/>
    <n v="796.94"/>
    <n v="10"/>
    <n v="7969.4"/>
    <x v="97"/>
    <x v="457"/>
  </r>
  <r>
    <n v="49947"/>
    <x v="15"/>
    <x v="40"/>
    <n v="795.19"/>
    <n v="18"/>
    <n v="14313.42"/>
    <x v="514"/>
    <x v="272"/>
  </r>
  <r>
    <n v="96011"/>
    <x v="0"/>
    <x v="42"/>
    <n v="430.1"/>
    <n v="33"/>
    <n v="14193.3"/>
    <x v="573"/>
    <x v="561"/>
  </r>
  <r>
    <n v="29807"/>
    <x v="3"/>
    <x v="38"/>
    <n v="45.72"/>
    <n v="22"/>
    <n v="1005.84"/>
    <x v="187"/>
    <x v="401"/>
  </r>
  <r>
    <n v="78955"/>
    <x v="18"/>
    <x v="21"/>
    <n v="534.77"/>
    <n v="49"/>
    <n v="26203.73"/>
    <x v="552"/>
    <x v="94"/>
  </r>
  <r>
    <n v="68692"/>
    <x v="6"/>
    <x v="29"/>
    <n v="404.9"/>
    <n v="29"/>
    <n v="11742.1"/>
    <x v="190"/>
    <x v="485"/>
  </r>
  <r>
    <n v="63340"/>
    <x v="19"/>
    <x v="36"/>
    <n v="796.51"/>
    <n v="14"/>
    <n v="11151.14"/>
    <x v="315"/>
    <x v="375"/>
  </r>
  <r>
    <n v="23716"/>
    <x v="9"/>
    <x v="18"/>
    <n v="617.33000000000004"/>
    <n v="14"/>
    <n v="8642.6200000000008"/>
    <x v="58"/>
    <x v="562"/>
  </r>
  <r>
    <n v="78193"/>
    <x v="18"/>
    <x v="29"/>
    <n v="404.9"/>
    <n v="46"/>
    <n v="18625.400000000001"/>
    <x v="13"/>
    <x v="369"/>
  </r>
  <r>
    <n v="80030"/>
    <x v="16"/>
    <x v="13"/>
    <n v="110.41"/>
    <n v="29"/>
    <n v="3201.89"/>
    <x v="578"/>
    <x v="505"/>
  </r>
  <r>
    <n v="43866"/>
    <x v="13"/>
    <x v="0"/>
    <n v="855.99"/>
    <n v="45"/>
    <n v="38519.550000000003"/>
    <x v="482"/>
    <x v="563"/>
  </r>
  <r>
    <n v="86710"/>
    <x v="11"/>
    <x v="20"/>
    <n v="93.68"/>
    <n v="34"/>
    <n v="3185.12"/>
    <x v="8"/>
    <x v="564"/>
  </r>
  <r>
    <n v="18098"/>
    <x v="1"/>
    <x v="29"/>
    <n v="404.9"/>
    <n v="18"/>
    <n v="7288.2"/>
    <x v="267"/>
    <x v="310"/>
  </r>
  <r>
    <n v="65737"/>
    <x v="19"/>
    <x v="5"/>
    <n v="622.16"/>
    <n v="41"/>
    <n v="25508.560000000001"/>
    <x v="103"/>
    <x v="565"/>
  </r>
  <r>
    <n v="93666"/>
    <x v="7"/>
    <x v="8"/>
    <n v="596.97"/>
    <n v="36"/>
    <n v="21490.92"/>
    <x v="302"/>
    <x v="162"/>
  </r>
  <r>
    <n v="92913"/>
    <x v="9"/>
    <x v="49"/>
    <n v="761.92"/>
    <n v="11"/>
    <n v="8381.1200000000008"/>
    <x v="132"/>
    <x v="265"/>
  </r>
  <r>
    <n v="13225"/>
    <x v="0"/>
    <x v="43"/>
    <n v="870.6"/>
    <n v="8"/>
    <n v="6964.8"/>
    <x v="586"/>
    <x v="304"/>
  </r>
  <r>
    <n v="32786"/>
    <x v="3"/>
    <x v="29"/>
    <n v="404.9"/>
    <n v="30"/>
    <n v="12147"/>
    <x v="587"/>
    <x v="85"/>
  </r>
  <r>
    <n v="28402"/>
    <x v="8"/>
    <x v="4"/>
    <n v="546.64"/>
    <n v="26"/>
    <n v="14212.64"/>
    <x v="330"/>
    <x v="407"/>
  </r>
  <r>
    <n v="25452"/>
    <x v="2"/>
    <x v="14"/>
    <n v="112.52"/>
    <n v="27"/>
    <n v="3038.04"/>
    <x v="588"/>
    <x v="566"/>
  </r>
  <r>
    <n v="41225"/>
    <x v="14"/>
    <x v="14"/>
    <n v="112.52"/>
    <n v="18"/>
    <n v="2025.36"/>
    <x v="529"/>
    <x v="28"/>
  </r>
  <r>
    <n v="44868"/>
    <x v="19"/>
    <x v="5"/>
    <n v="622.16"/>
    <n v="38"/>
    <n v="23642.080000000002"/>
    <x v="539"/>
    <x v="567"/>
  </r>
  <r>
    <n v="12964"/>
    <x v="0"/>
    <x v="9"/>
    <n v="796.94"/>
    <n v="17"/>
    <n v="13547.98"/>
    <x v="31"/>
    <x v="452"/>
  </r>
  <r>
    <n v="57175"/>
    <x v="13"/>
    <x v="31"/>
    <n v="346.37"/>
    <n v="29"/>
    <n v="10044.73"/>
    <x v="352"/>
    <x v="208"/>
  </r>
  <r>
    <n v="91758"/>
    <x v="5"/>
    <x v="14"/>
    <n v="112.52"/>
    <n v="41"/>
    <n v="4613.32"/>
    <x v="28"/>
    <x v="566"/>
  </r>
  <r>
    <n v="19880"/>
    <x v="0"/>
    <x v="44"/>
    <n v="913.18"/>
    <n v="36"/>
    <n v="32874.480000000003"/>
    <x v="568"/>
    <x v="214"/>
  </r>
  <r>
    <n v="37477"/>
    <x v="3"/>
    <x v="49"/>
    <n v="761.92"/>
    <n v="2"/>
    <n v="1523.84"/>
    <x v="533"/>
    <x v="359"/>
  </r>
  <r>
    <n v="80703"/>
    <x v="12"/>
    <x v="31"/>
    <n v="346.37"/>
    <n v="16"/>
    <n v="5541.92"/>
    <x v="589"/>
    <x v="44"/>
  </r>
  <r>
    <n v="34239"/>
    <x v="11"/>
    <x v="32"/>
    <n v="184.57"/>
    <n v="33"/>
    <n v="6090.81"/>
    <x v="20"/>
    <x v="399"/>
  </r>
  <r>
    <n v="74416"/>
    <x v="14"/>
    <x v="44"/>
    <n v="913.18"/>
    <n v="30"/>
    <n v="27395.4"/>
    <x v="590"/>
    <x v="543"/>
  </r>
  <r>
    <n v="10094"/>
    <x v="14"/>
    <x v="40"/>
    <n v="795.19"/>
    <n v="40"/>
    <n v="31807.599999999999"/>
    <x v="116"/>
    <x v="495"/>
  </r>
  <r>
    <n v="18959"/>
    <x v="12"/>
    <x v="18"/>
    <n v="617.33000000000004"/>
    <n v="35"/>
    <n v="21606.55"/>
    <x v="591"/>
    <x v="560"/>
  </r>
  <r>
    <n v="92104"/>
    <x v="3"/>
    <x v="11"/>
    <n v="988.47"/>
    <n v="14"/>
    <n v="13838.58"/>
    <x v="547"/>
    <x v="391"/>
  </r>
  <r>
    <n v="93857"/>
    <x v="16"/>
    <x v="6"/>
    <n v="222.47"/>
    <n v="35"/>
    <n v="7786.45"/>
    <x v="271"/>
    <x v="68"/>
  </r>
  <r>
    <n v="83226"/>
    <x v="2"/>
    <x v="46"/>
    <n v="346.4"/>
    <n v="30"/>
    <n v="10392"/>
    <x v="415"/>
    <x v="150"/>
  </r>
  <r>
    <n v="10822"/>
    <x v="6"/>
    <x v="17"/>
    <n v="366.3"/>
    <n v="6"/>
    <n v="2197.8000000000002"/>
    <x v="510"/>
    <x v="237"/>
  </r>
  <r>
    <n v="34186"/>
    <x v="3"/>
    <x v="17"/>
    <n v="366.3"/>
    <n v="45"/>
    <n v="16483.5"/>
    <x v="496"/>
    <x v="568"/>
  </r>
  <r>
    <n v="86508"/>
    <x v="15"/>
    <x v="7"/>
    <n v="101.12"/>
    <n v="27"/>
    <n v="2730.24"/>
    <x v="592"/>
    <x v="491"/>
  </r>
  <r>
    <n v="95683"/>
    <x v="15"/>
    <x v="43"/>
    <n v="870.6"/>
    <n v="46"/>
    <n v="40047.599999999999"/>
    <x v="180"/>
    <x v="123"/>
  </r>
  <r>
    <n v="69013"/>
    <x v="15"/>
    <x v="31"/>
    <n v="346.37"/>
    <n v="37"/>
    <n v="12815.69"/>
    <x v="345"/>
    <x v="499"/>
  </r>
  <r>
    <n v="59982"/>
    <x v="17"/>
    <x v="42"/>
    <n v="430.1"/>
    <n v="19"/>
    <n v="8171.9"/>
    <x v="593"/>
    <x v="36"/>
  </r>
  <r>
    <n v="16449"/>
    <x v="8"/>
    <x v="43"/>
    <n v="870.6"/>
    <n v="22"/>
    <n v="19153.2"/>
    <x v="277"/>
    <x v="569"/>
  </r>
  <r>
    <n v="57648"/>
    <x v="11"/>
    <x v="22"/>
    <n v="468.95"/>
    <n v="46"/>
    <n v="21571.7"/>
    <x v="448"/>
    <x v="393"/>
  </r>
  <r>
    <n v="76659"/>
    <x v="14"/>
    <x v="32"/>
    <n v="184.57"/>
    <n v="27"/>
    <n v="4983.3900000000003"/>
    <x v="339"/>
    <x v="45"/>
  </r>
  <r>
    <n v="88003"/>
    <x v="3"/>
    <x v="14"/>
    <n v="112.52"/>
    <n v="18"/>
    <n v="2025.36"/>
    <x v="167"/>
    <x v="380"/>
  </r>
  <r>
    <n v="50777"/>
    <x v="7"/>
    <x v="32"/>
    <n v="184.57"/>
    <n v="37"/>
    <n v="6829.09"/>
    <x v="365"/>
    <x v="570"/>
  </r>
  <r>
    <n v="93272"/>
    <x v="14"/>
    <x v="5"/>
    <n v="622.16"/>
    <n v="15"/>
    <n v="9332.4"/>
    <x v="102"/>
    <x v="51"/>
  </r>
  <r>
    <n v="26954"/>
    <x v="6"/>
    <x v="7"/>
    <n v="101.12"/>
    <n v="44"/>
    <n v="4449.28"/>
    <x v="457"/>
    <x v="71"/>
  </r>
  <r>
    <n v="74521"/>
    <x v="7"/>
    <x v="29"/>
    <n v="404.9"/>
    <n v="16"/>
    <n v="6478.4"/>
    <x v="576"/>
    <x v="521"/>
  </r>
  <r>
    <n v="46034"/>
    <x v="6"/>
    <x v="25"/>
    <n v="972.24"/>
    <n v="22"/>
    <n v="21389.279999999999"/>
    <x v="116"/>
    <x v="416"/>
  </r>
  <r>
    <n v="24219"/>
    <x v="16"/>
    <x v="34"/>
    <n v="474.55"/>
    <n v="24"/>
    <n v="11389.2"/>
    <x v="432"/>
    <x v="195"/>
  </r>
  <r>
    <n v="15107"/>
    <x v="12"/>
    <x v="34"/>
    <n v="474.55"/>
    <n v="43"/>
    <n v="20405.650000000001"/>
    <x v="449"/>
    <x v="114"/>
  </r>
  <r>
    <n v="78123"/>
    <x v="2"/>
    <x v="14"/>
    <n v="112.52"/>
    <n v="40"/>
    <n v="4500.8"/>
    <x v="42"/>
    <x v="123"/>
  </r>
  <r>
    <n v="52852"/>
    <x v="15"/>
    <x v="44"/>
    <n v="913.18"/>
    <n v="25"/>
    <n v="22829.5"/>
    <x v="594"/>
    <x v="35"/>
  </r>
  <r>
    <n v="34286"/>
    <x v="3"/>
    <x v="16"/>
    <n v="654.4"/>
    <n v="11"/>
    <n v="7198.4"/>
    <x v="595"/>
    <x v="571"/>
  </r>
  <r>
    <n v="87325"/>
    <x v="7"/>
    <x v="42"/>
    <n v="430.1"/>
    <n v="43"/>
    <n v="18494.3"/>
    <x v="496"/>
    <x v="572"/>
  </r>
  <r>
    <n v="63553"/>
    <x v="4"/>
    <x v="24"/>
    <n v="323.73"/>
    <n v="50"/>
    <n v="16186.5"/>
    <x v="379"/>
    <x v="177"/>
  </r>
  <r>
    <n v="11255"/>
    <x v="10"/>
    <x v="45"/>
    <n v="890.84"/>
    <n v="34"/>
    <n v="30288.560000000001"/>
    <x v="596"/>
    <x v="493"/>
  </r>
  <r>
    <n v="42918"/>
    <x v="6"/>
    <x v="26"/>
    <n v="730.09"/>
    <n v="44"/>
    <n v="32123.96"/>
    <x v="597"/>
    <x v="124"/>
  </r>
  <r>
    <n v="16066"/>
    <x v="9"/>
    <x v="32"/>
    <n v="184.57"/>
    <n v="25"/>
    <n v="4614.25"/>
    <x v="598"/>
    <x v="440"/>
  </r>
  <r>
    <n v="68354"/>
    <x v="5"/>
    <x v="47"/>
    <n v="325"/>
    <n v="27"/>
    <n v="8775"/>
    <x v="38"/>
    <x v="161"/>
  </r>
  <r>
    <n v="48396"/>
    <x v="13"/>
    <x v="3"/>
    <n v="449.74"/>
    <n v="28"/>
    <n v="12592.72"/>
    <x v="49"/>
    <x v="382"/>
  </r>
  <r>
    <n v="86748"/>
    <x v="0"/>
    <x v="29"/>
    <n v="404.9"/>
    <n v="11"/>
    <n v="4453.8999999999996"/>
    <x v="427"/>
    <x v="573"/>
  </r>
  <r>
    <n v="13982"/>
    <x v="8"/>
    <x v="23"/>
    <n v="533.15"/>
    <n v="18"/>
    <n v="9596.7000000000007"/>
    <x v="599"/>
    <x v="83"/>
  </r>
  <r>
    <n v="22617"/>
    <x v="6"/>
    <x v="20"/>
    <n v="93.68"/>
    <n v="43"/>
    <n v="4028.24"/>
    <x v="279"/>
    <x v="529"/>
  </r>
  <r>
    <n v="38602"/>
    <x v="4"/>
    <x v="49"/>
    <n v="761.92"/>
    <n v="21"/>
    <n v="16000.32"/>
    <x v="323"/>
    <x v="498"/>
  </r>
  <r>
    <n v="28193"/>
    <x v="4"/>
    <x v="8"/>
    <n v="596.97"/>
    <n v="45"/>
    <n v="26863.65"/>
    <x v="366"/>
    <x v="467"/>
  </r>
  <r>
    <n v="38374"/>
    <x v="6"/>
    <x v="29"/>
    <n v="404.9"/>
    <n v="20"/>
    <n v="8098"/>
    <x v="508"/>
    <x v="328"/>
  </r>
  <r>
    <n v="95739"/>
    <x v="15"/>
    <x v="23"/>
    <n v="533.15"/>
    <n v="4"/>
    <n v="2132.6"/>
    <x v="88"/>
    <x v="141"/>
  </r>
  <r>
    <n v="53935"/>
    <x v="1"/>
    <x v="47"/>
    <n v="325"/>
    <n v="26"/>
    <n v="8450"/>
    <x v="600"/>
    <x v="220"/>
  </r>
  <r>
    <n v="58696"/>
    <x v="17"/>
    <x v="42"/>
    <n v="430.1"/>
    <n v="46"/>
    <n v="19784.599999999999"/>
    <x v="216"/>
    <x v="381"/>
  </r>
  <r>
    <n v="68727"/>
    <x v="12"/>
    <x v="0"/>
    <n v="855.99"/>
    <n v="19"/>
    <n v="16263.81"/>
    <x v="166"/>
    <x v="574"/>
  </r>
  <r>
    <n v="40671"/>
    <x v="5"/>
    <x v="24"/>
    <n v="323.73"/>
    <n v="31"/>
    <n v="10035.629999999999"/>
    <x v="207"/>
    <x v="103"/>
  </r>
  <r>
    <n v="97270"/>
    <x v="11"/>
    <x v="13"/>
    <n v="110.41"/>
    <n v="35"/>
    <n v="3864.35"/>
    <x v="404"/>
    <x v="448"/>
  </r>
  <r>
    <n v="68991"/>
    <x v="17"/>
    <x v="47"/>
    <n v="325"/>
    <n v="11"/>
    <n v="3575"/>
    <x v="16"/>
    <x v="88"/>
  </r>
  <r>
    <n v="89976"/>
    <x v="6"/>
    <x v="21"/>
    <n v="534.77"/>
    <n v="34"/>
    <n v="18182.18"/>
    <x v="104"/>
    <x v="332"/>
  </r>
  <r>
    <n v="18684"/>
    <x v="10"/>
    <x v="14"/>
    <n v="112.52"/>
    <n v="11"/>
    <n v="1237.72"/>
    <x v="409"/>
    <x v="61"/>
  </r>
  <r>
    <n v="51280"/>
    <x v="17"/>
    <x v="0"/>
    <n v="855.99"/>
    <n v="31"/>
    <n v="26535.69"/>
    <x v="601"/>
    <x v="31"/>
  </r>
  <r>
    <n v="57402"/>
    <x v="3"/>
    <x v="4"/>
    <n v="546.64"/>
    <n v="12"/>
    <n v="6559.68"/>
    <x v="372"/>
    <x v="12"/>
  </r>
  <r>
    <n v="95936"/>
    <x v="0"/>
    <x v="45"/>
    <n v="890.84"/>
    <n v="8"/>
    <n v="7126.72"/>
    <x v="170"/>
    <x v="552"/>
  </r>
  <r>
    <n v="26824"/>
    <x v="7"/>
    <x v="10"/>
    <n v="233.83"/>
    <n v="41"/>
    <n v="9587.0300000000007"/>
    <x v="253"/>
    <x v="575"/>
  </r>
  <r>
    <n v="89583"/>
    <x v="2"/>
    <x v="17"/>
    <n v="366.3"/>
    <n v="23"/>
    <n v="8424.9"/>
    <x v="526"/>
    <x v="218"/>
  </r>
  <r>
    <n v="19069"/>
    <x v="18"/>
    <x v="22"/>
    <n v="468.95"/>
    <n v="16"/>
    <n v="7503.2"/>
    <x v="566"/>
    <x v="134"/>
  </r>
  <r>
    <n v="46443"/>
    <x v="14"/>
    <x v="33"/>
    <n v="705.68"/>
    <n v="21"/>
    <n v="14819.28"/>
    <x v="244"/>
    <x v="113"/>
  </r>
  <r>
    <n v="53928"/>
    <x v="10"/>
    <x v="34"/>
    <n v="474.55"/>
    <n v="4"/>
    <n v="1898.2"/>
    <x v="165"/>
    <x v="90"/>
  </r>
  <r>
    <n v="52554"/>
    <x v="5"/>
    <x v="44"/>
    <n v="913.18"/>
    <n v="1"/>
    <n v="913.18"/>
    <x v="174"/>
    <x v="129"/>
  </r>
  <r>
    <n v="56943"/>
    <x v="13"/>
    <x v="2"/>
    <n v="68.05"/>
    <n v="46"/>
    <n v="3130.3"/>
    <x v="301"/>
    <x v="486"/>
  </r>
  <r>
    <n v="70519"/>
    <x v="13"/>
    <x v="34"/>
    <n v="474.55"/>
    <n v="28"/>
    <n v="13287.4"/>
    <x v="218"/>
    <x v="355"/>
  </r>
  <r>
    <n v="37610"/>
    <x v="12"/>
    <x v="39"/>
    <n v="402.36"/>
    <n v="24"/>
    <n v="9656.64"/>
    <x v="228"/>
    <x v="335"/>
  </r>
  <r>
    <n v="30862"/>
    <x v="3"/>
    <x v="23"/>
    <n v="533.15"/>
    <n v="40"/>
    <n v="21326"/>
    <x v="602"/>
    <x v="467"/>
  </r>
  <r>
    <n v="20766"/>
    <x v="0"/>
    <x v="34"/>
    <n v="474.55"/>
    <n v="21"/>
    <n v="9965.5499999999993"/>
    <x v="478"/>
    <x v="275"/>
  </r>
  <r>
    <n v="89579"/>
    <x v="12"/>
    <x v="37"/>
    <n v="753.12"/>
    <n v="34"/>
    <n v="25606.080000000002"/>
    <x v="557"/>
    <x v="448"/>
  </r>
  <r>
    <n v="34110"/>
    <x v="11"/>
    <x v="7"/>
    <n v="101.12"/>
    <n v="48"/>
    <n v="4853.76"/>
    <x v="444"/>
    <x v="576"/>
  </r>
  <r>
    <n v="67250"/>
    <x v="16"/>
    <x v="46"/>
    <n v="346.4"/>
    <n v="50"/>
    <n v="17320"/>
    <x v="170"/>
    <x v="118"/>
  </r>
  <r>
    <n v="49726"/>
    <x v="1"/>
    <x v="36"/>
    <n v="796.51"/>
    <n v="11"/>
    <n v="8761.61"/>
    <x v="427"/>
    <x v="171"/>
  </r>
  <r>
    <n v="72947"/>
    <x v="9"/>
    <x v="31"/>
    <n v="346.37"/>
    <n v="29"/>
    <n v="10044.73"/>
    <x v="53"/>
    <x v="577"/>
  </r>
  <r>
    <n v="80063"/>
    <x v="8"/>
    <x v="23"/>
    <n v="533.15"/>
    <n v="47"/>
    <n v="25058.05"/>
    <x v="243"/>
    <x v="2"/>
  </r>
  <r>
    <n v="72396"/>
    <x v="4"/>
    <x v="44"/>
    <n v="913.18"/>
    <n v="27"/>
    <n v="24655.86"/>
    <x v="461"/>
    <x v="237"/>
  </r>
  <r>
    <n v="19042"/>
    <x v="3"/>
    <x v="39"/>
    <n v="402.36"/>
    <n v="27"/>
    <n v="10863.72"/>
    <x v="22"/>
    <x v="381"/>
  </r>
  <r>
    <n v="60034"/>
    <x v="16"/>
    <x v="39"/>
    <n v="402.36"/>
    <n v="38"/>
    <n v="15289.68"/>
    <x v="76"/>
    <x v="212"/>
  </r>
  <r>
    <n v="95912"/>
    <x v="9"/>
    <x v="15"/>
    <n v="608.37"/>
    <n v="3"/>
    <n v="1825.11"/>
    <x v="603"/>
    <x v="439"/>
  </r>
  <r>
    <n v="88578"/>
    <x v="15"/>
    <x v="22"/>
    <n v="468.95"/>
    <n v="33"/>
    <n v="15475.35"/>
    <x v="536"/>
    <x v="409"/>
  </r>
  <r>
    <n v="53942"/>
    <x v="10"/>
    <x v="42"/>
    <n v="430.1"/>
    <n v="15"/>
    <n v="6451.5"/>
    <x v="506"/>
    <x v="174"/>
  </r>
  <r>
    <n v="87859"/>
    <x v="11"/>
    <x v="12"/>
    <n v="875.47"/>
    <n v="17"/>
    <n v="14882.99"/>
    <x v="494"/>
    <x v="309"/>
  </r>
  <r>
    <n v="28553"/>
    <x v="11"/>
    <x v="28"/>
    <n v="641.34"/>
    <n v="23"/>
    <n v="14750.82"/>
    <x v="604"/>
    <x v="578"/>
  </r>
  <r>
    <n v="99814"/>
    <x v="4"/>
    <x v="14"/>
    <n v="112.52"/>
    <n v="3"/>
    <n v="337.56"/>
    <x v="127"/>
    <x v="390"/>
  </r>
  <r>
    <n v="28496"/>
    <x v="13"/>
    <x v="43"/>
    <n v="870.6"/>
    <n v="4"/>
    <n v="3482.4"/>
    <x v="277"/>
    <x v="492"/>
  </r>
  <r>
    <n v="59659"/>
    <x v="2"/>
    <x v="2"/>
    <n v="68.05"/>
    <n v="48"/>
    <n v="3266.4"/>
    <x v="143"/>
    <x v="579"/>
  </r>
  <r>
    <n v="93987"/>
    <x v="1"/>
    <x v="19"/>
    <n v="682.74"/>
    <n v="38"/>
    <n v="25944.12"/>
    <x v="340"/>
    <x v="87"/>
  </r>
  <r>
    <n v="43267"/>
    <x v="16"/>
    <x v="48"/>
    <n v="95.12"/>
    <n v="25"/>
    <n v="2378"/>
    <x v="122"/>
    <x v="4"/>
  </r>
  <r>
    <n v="31662"/>
    <x v="9"/>
    <x v="26"/>
    <n v="730.09"/>
    <n v="7"/>
    <n v="5110.63"/>
    <x v="605"/>
    <x v="403"/>
  </r>
  <r>
    <n v="50179"/>
    <x v="12"/>
    <x v="42"/>
    <n v="430.1"/>
    <n v="13"/>
    <n v="5591.3"/>
    <x v="345"/>
    <x v="511"/>
  </r>
  <r>
    <n v="85506"/>
    <x v="5"/>
    <x v="3"/>
    <n v="449.74"/>
    <n v="17"/>
    <n v="7645.58"/>
    <x v="606"/>
    <x v="294"/>
  </r>
  <r>
    <n v="47231"/>
    <x v="18"/>
    <x v="34"/>
    <n v="474.55"/>
    <n v="20"/>
    <n v="9491"/>
    <x v="262"/>
    <x v="381"/>
  </r>
  <r>
    <n v="82081"/>
    <x v="18"/>
    <x v="25"/>
    <n v="972.24"/>
    <n v="31"/>
    <n v="30139.439999999999"/>
    <x v="237"/>
    <x v="427"/>
  </r>
  <r>
    <n v="44544"/>
    <x v="7"/>
    <x v="45"/>
    <n v="890.84"/>
    <n v="4"/>
    <n v="3563.36"/>
    <x v="311"/>
    <x v="290"/>
  </r>
  <r>
    <n v="52967"/>
    <x v="0"/>
    <x v="43"/>
    <n v="870.6"/>
    <n v="48"/>
    <n v="41788.800000000003"/>
    <x v="357"/>
    <x v="568"/>
  </r>
  <r>
    <n v="69677"/>
    <x v="8"/>
    <x v="12"/>
    <n v="875.47"/>
    <n v="17"/>
    <n v="14882.99"/>
    <x v="489"/>
    <x v="401"/>
  </r>
  <r>
    <n v="29462"/>
    <x v="3"/>
    <x v="34"/>
    <n v="474.55"/>
    <n v="31"/>
    <n v="14711.05"/>
    <x v="505"/>
    <x v="34"/>
  </r>
  <r>
    <n v="99837"/>
    <x v="13"/>
    <x v="18"/>
    <n v="617.33000000000004"/>
    <n v="32"/>
    <n v="19754.560000000001"/>
    <x v="86"/>
    <x v="16"/>
  </r>
  <r>
    <n v="83027"/>
    <x v="18"/>
    <x v="8"/>
    <n v="596.97"/>
    <n v="36"/>
    <n v="21490.92"/>
    <x v="366"/>
    <x v="580"/>
  </r>
  <r>
    <n v="58511"/>
    <x v="0"/>
    <x v="22"/>
    <n v="468.95"/>
    <n v="3"/>
    <n v="1406.85"/>
    <x v="549"/>
    <x v="581"/>
  </r>
  <r>
    <n v="75838"/>
    <x v="8"/>
    <x v="0"/>
    <n v="855.99"/>
    <n v="42"/>
    <n v="35951.58"/>
    <x v="607"/>
    <x v="363"/>
  </r>
  <r>
    <n v="26139"/>
    <x v="18"/>
    <x v="49"/>
    <n v="761.92"/>
    <n v="34"/>
    <n v="25905.279999999999"/>
    <x v="506"/>
    <x v="323"/>
  </r>
  <r>
    <n v="15442"/>
    <x v="1"/>
    <x v="40"/>
    <n v="795.19"/>
    <n v="23"/>
    <n v="18289.37"/>
    <x v="608"/>
    <x v="189"/>
  </r>
  <r>
    <n v="22001"/>
    <x v="9"/>
    <x v="35"/>
    <n v="611.66"/>
    <n v="39"/>
    <n v="23854.74"/>
    <x v="190"/>
    <x v="164"/>
  </r>
  <r>
    <n v="38966"/>
    <x v="14"/>
    <x v="30"/>
    <n v="988.73"/>
    <n v="32"/>
    <n v="31639.360000000001"/>
    <x v="102"/>
    <x v="548"/>
  </r>
  <r>
    <n v="76828"/>
    <x v="3"/>
    <x v="19"/>
    <n v="682.74"/>
    <n v="2"/>
    <n v="1365.48"/>
    <x v="460"/>
    <x v="582"/>
  </r>
  <r>
    <n v="64853"/>
    <x v="7"/>
    <x v="29"/>
    <n v="404.9"/>
    <n v="19"/>
    <n v="7693.1"/>
    <x v="603"/>
    <x v="211"/>
  </r>
  <r>
    <n v="22081"/>
    <x v="19"/>
    <x v="9"/>
    <n v="796.94"/>
    <n v="3"/>
    <n v="2390.8200000000002"/>
    <x v="258"/>
    <x v="583"/>
  </r>
  <r>
    <n v="20769"/>
    <x v="11"/>
    <x v="12"/>
    <n v="875.47"/>
    <n v="33"/>
    <n v="28890.51"/>
    <x v="143"/>
    <x v="314"/>
  </r>
  <r>
    <n v="54682"/>
    <x v="5"/>
    <x v="39"/>
    <n v="402.36"/>
    <n v="22"/>
    <n v="8851.92"/>
    <x v="255"/>
    <x v="385"/>
  </r>
  <r>
    <n v="35083"/>
    <x v="15"/>
    <x v="5"/>
    <n v="622.16"/>
    <n v="29"/>
    <n v="18042.64"/>
    <x v="86"/>
    <x v="247"/>
  </r>
  <r>
    <n v="28190"/>
    <x v="17"/>
    <x v="44"/>
    <n v="913.18"/>
    <n v="17"/>
    <n v="15524.06"/>
    <x v="115"/>
    <x v="238"/>
  </r>
  <r>
    <n v="12552"/>
    <x v="11"/>
    <x v="13"/>
    <n v="110.41"/>
    <n v="22"/>
    <n v="2429.02"/>
    <x v="609"/>
    <x v="11"/>
  </r>
  <r>
    <n v="47788"/>
    <x v="0"/>
    <x v="19"/>
    <n v="682.74"/>
    <n v="24"/>
    <n v="16385.759999999998"/>
    <x v="440"/>
    <x v="584"/>
  </r>
  <r>
    <n v="98383"/>
    <x v="7"/>
    <x v="34"/>
    <n v="474.55"/>
    <n v="25"/>
    <n v="11863.75"/>
    <x v="445"/>
    <x v="585"/>
  </r>
  <r>
    <n v="79006"/>
    <x v="2"/>
    <x v="23"/>
    <n v="533.15"/>
    <n v="11"/>
    <n v="5864.65"/>
    <x v="499"/>
    <x v="322"/>
  </r>
  <r>
    <n v="20929"/>
    <x v="14"/>
    <x v="6"/>
    <n v="222.47"/>
    <n v="37"/>
    <n v="8231.39"/>
    <x v="77"/>
    <x v="586"/>
  </r>
  <r>
    <n v="19258"/>
    <x v="0"/>
    <x v="17"/>
    <n v="366.3"/>
    <n v="41"/>
    <n v="15018.3"/>
    <x v="92"/>
    <x v="238"/>
  </r>
  <r>
    <n v="59145"/>
    <x v="19"/>
    <x v="0"/>
    <n v="855.99"/>
    <n v="20"/>
    <n v="17119.8"/>
    <x v="518"/>
    <x v="429"/>
  </r>
  <r>
    <n v="88327"/>
    <x v="16"/>
    <x v="24"/>
    <n v="323.73"/>
    <n v="45"/>
    <n v="14567.85"/>
    <x v="374"/>
    <x v="587"/>
  </r>
  <r>
    <n v="35299"/>
    <x v="19"/>
    <x v="0"/>
    <n v="855.99"/>
    <n v="3"/>
    <n v="2567.9699999999998"/>
    <x v="610"/>
    <x v="142"/>
  </r>
  <r>
    <n v="35052"/>
    <x v="11"/>
    <x v="41"/>
    <n v="158.66999999999999"/>
    <n v="16"/>
    <n v="2538.7199999999998"/>
    <x v="566"/>
    <x v="128"/>
  </r>
  <r>
    <n v="87911"/>
    <x v="5"/>
    <x v="40"/>
    <n v="795.19"/>
    <n v="11"/>
    <n v="8747.09"/>
    <x v="534"/>
    <x v="316"/>
  </r>
  <r>
    <n v="11493"/>
    <x v="6"/>
    <x v="39"/>
    <n v="402.36"/>
    <n v="10"/>
    <n v="4023.6"/>
    <x v="290"/>
    <x v="254"/>
  </r>
  <r>
    <n v="75185"/>
    <x v="3"/>
    <x v="21"/>
    <n v="534.77"/>
    <n v="6"/>
    <n v="3208.62"/>
    <x v="537"/>
    <x v="6"/>
  </r>
  <r>
    <n v="99031"/>
    <x v="13"/>
    <x v="22"/>
    <n v="468.95"/>
    <n v="32"/>
    <n v="15006.4"/>
    <x v="589"/>
    <x v="407"/>
  </r>
  <r>
    <n v="50752"/>
    <x v="12"/>
    <x v="27"/>
    <n v="399.32"/>
    <n v="1"/>
    <n v="399.32"/>
    <x v="75"/>
    <x v="426"/>
  </r>
  <r>
    <n v="57285"/>
    <x v="4"/>
    <x v="40"/>
    <n v="795.19"/>
    <n v="33"/>
    <n v="26241.27"/>
    <x v="13"/>
    <x v="196"/>
  </r>
  <r>
    <n v="92958"/>
    <x v="19"/>
    <x v="14"/>
    <n v="112.52"/>
    <n v="33"/>
    <n v="3713.16"/>
    <x v="256"/>
    <x v="588"/>
  </r>
  <r>
    <n v="57403"/>
    <x v="10"/>
    <x v="41"/>
    <n v="158.66999999999999"/>
    <n v="3"/>
    <n v="476.01"/>
    <x v="186"/>
    <x v="589"/>
  </r>
  <r>
    <n v="45571"/>
    <x v="17"/>
    <x v="24"/>
    <n v="323.73"/>
    <n v="10"/>
    <n v="3237.3"/>
    <x v="577"/>
    <x v="232"/>
  </r>
  <r>
    <n v="96866"/>
    <x v="16"/>
    <x v="10"/>
    <n v="233.83"/>
    <n v="32"/>
    <n v="7482.56"/>
    <x v="353"/>
    <x v="556"/>
  </r>
  <r>
    <n v="68759"/>
    <x v="12"/>
    <x v="28"/>
    <n v="641.34"/>
    <n v="16"/>
    <n v="10261.44"/>
    <x v="175"/>
    <x v="469"/>
  </r>
  <r>
    <n v="38487"/>
    <x v="14"/>
    <x v="28"/>
    <n v="641.34"/>
    <n v="32"/>
    <n v="20522.88"/>
    <x v="611"/>
    <x v="590"/>
  </r>
  <r>
    <n v="75531"/>
    <x v="10"/>
    <x v="41"/>
    <n v="158.66999999999999"/>
    <n v="46"/>
    <n v="7298.82"/>
    <x v="491"/>
    <x v="277"/>
  </r>
  <r>
    <n v="44084"/>
    <x v="1"/>
    <x v="47"/>
    <n v="325"/>
    <n v="40"/>
    <n v="13000"/>
    <x v="612"/>
    <x v="506"/>
  </r>
  <r>
    <n v="45569"/>
    <x v="4"/>
    <x v="32"/>
    <n v="184.57"/>
    <n v="38"/>
    <n v="7013.66"/>
    <x v="613"/>
    <x v="446"/>
  </r>
  <r>
    <n v="51285"/>
    <x v="10"/>
    <x v="44"/>
    <n v="913.18"/>
    <n v="16"/>
    <n v="14610.88"/>
    <x v="288"/>
    <x v="501"/>
  </r>
  <r>
    <n v="26679"/>
    <x v="10"/>
    <x v="48"/>
    <n v="95.12"/>
    <n v="7"/>
    <n v="665.84"/>
    <x v="125"/>
    <x v="518"/>
  </r>
  <r>
    <n v="26798"/>
    <x v="5"/>
    <x v="37"/>
    <n v="753.12"/>
    <n v="12"/>
    <n v="9037.44"/>
    <x v="265"/>
    <x v="581"/>
  </r>
  <r>
    <n v="49185"/>
    <x v="19"/>
    <x v="39"/>
    <n v="402.36"/>
    <n v="4"/>
    <n v="1609.44"/>
    <x v="396"/>
    <x v="69"/>
  </r>
  <r>
    <n v="28580"/>
    <x v="10"/>
    <x v="30"/>
    <n v="988.73"/>
    <n v="2"/>
    <n v="1977.46"/>
    <x v="391"/>
    <x v="165"/>
  </r>
  <r>
    <n v="19585"/>
    <x v="5"/>
    <x v="4"/>
    <n v="546.64"/>
    <n v="49"/>
    <n v="26785.360000000001"/>
    <x v="430"/>
    <x v="591"/>
  </r>
  <r>
    <n v="97561"/>
    <x v="6"/>
    <x v="30"/>
    <n v="988.73"/>
    <n v="3"/>
    <n v="2966.19"/>
    <x v="592"/>
    <x v="118"/>
  </r>
  <r>
    <n v="33387"/>
    <x v="9"/>
    <x v="32"/>
    <n v="184.57"/>
    <n v="49"/>
    <n v="9043.93"/>
    <x v="155"/>
    <x v="285"/>
  </r>
  <r>
    <n v="94226"/>
    <x v="11"/>
    <x v="41"/>
    <n v="158.66999999999999"/>
    <n v="5"/>
    <n v="793.35"/>
    <x v="90"/>
    <x v="296"/>
  </r>
  <r>
    <n v="65751"/>
    <x v="15"/>
    <x v="10"/>
    <n v="233.83"/>
    <n v="4"/>
    <n v="935.32"/>
    <x v="15"/>
    <x v="125"/>
  </r>
  <r>
    <n v="24381"/>
    <x v="13"/>
    <x v="8"/>
    <n v="596.97"/>
    <n v="22"/>
    <n v="13133.34"/>
    <x v="86"/>
    <x v="473"/>
  </r>
  <r>
    <n v="17368"/>
    <x v="16"/>
    <x v="4"/>
    <n v="546.64"/>
    <n v="18"/>
    <n v="9839.52"/>
    <x v="614"/>
    <x v="468"/>
  </r>
  <r>
    <n v="87058"/>
    <x v="12"/>
    <x v="29"/>
    <n v="404.9"/>
    <n v="14"/>
    <n v="5668.6"/>
    <x v="454"/>
    <x v="18"/>
  </r>
  <r>
    <n v="99220"/>
    <x v="8"/>
    <x v="7"/>
    <n v="101.12"/>
    <n v="41"/>
    <n v="4145.92"/>
    <x v="468"/>
    <x v="376"/>
  </r>
  <r>
    <n v="65785"/>
    <x v="15"/>
    <x v="33"/>
    <n v="705.68"/>
    <n v="34"/>
    <n v="23993.119999999999"/>
    <x v="128"/>
    <x v="592"/>
  </r>
  <r>
    <n v="32560"/>
    <x v="12"/>
    <x v="14"/>
    <n v="112.52"/>
    <n v="40"/>
    <n v="4500.8"/>
    <x v="366"/>
    <x v="426"/>
  </r>
  <r>
    <n v="15852"/>
    <x v="8"/>
    <x v="49"/>
    <n v="761.92"/>
    <n v="42"/>
    <n v="32000.639999999999"/>
    <x v="219"/>
    <x v="270"/>
  </r>
  <r>
    <n v="53400"/>
    <x v="12"/>
    <x v="48"/>
    <n v="95.12"/>
    <n v="30"/>
    <n v="2853.6"/>
    <x v="127"/>
    <x v="207"/>
  </r>
  <r>
    <n v="77945"/>
    <x v="14"/>
    <x v="49"/>
    <n v="761.92"/>
    <n v="34"/>
    <n v="25905.279999999999"/>
    <x v="408"/>
    <x v="363"/>
  </r>
  <r>
    <n v="67833"/>
    <x v="6"/>
    <x v="28"/>
    <n v="641.34"/>
    <n v="11"/>
    <n v="7054.74"/>
    <x v="438"/>
    <x v="547"/>
  </r>
  <r>
    <n v="84649"/>
    <x v="7"/>
    <x v="10"/>
    <n v="233.83"/>
    <n v="6"/>
    <n v="1402.98"/>
    <x v="278"/>
    <x v="317"/>
  </r>
  <r>
    <n v="26434"/>
    <x v="9"/>
    <x v="10"/>
    <n v="233.83"/>
    <n v="5"/>
    <n v="1169.1500000000001"/>
    <x v="405"/>
    <x v="578"/>
  </r>
  <r>
    <n v="98008"/>
    <x v="8"/>
    <x v="10"/>
    <n v="233.83"/>
    <n v="26"/>
    <n v="6079.58"/>
    <x v="212"/>
    <x v="177"/>
  </r>
  <r>
    <n v="97526"/>
    <x v="5"/>
    <x v="4"/>
    <n v="546.64"/>
    <n v="33"/>
    <n v="18039.12"/>
    <x v="126"/>
    <x v="385"/>
  </r>
  <r>
    <n v="33865"/>
    <x v="6"/>
    <x v="3"/>
    <n v="449.74"/>
    <n v="20"/>
    <n v="8994.7999999999993"/>
    <x v="605"/>
    <x v="455"/>
  </r>
  <r>
    <n v="47824"/>
    <x v="12"/>
    <x v="20"/>
    <n v="93.68"/>
    <n v="48"/>
    <n v="4496.6400000000003"/>
    <x v="610"/>
    <x v="430"/>
  </r>
  <r>
    <n v="63911"/>
    <x v="11"/>
    <x v="38"/>
    <n v="45.72"/>
    <n v="26"/>
    <n v="1188.72"/>
    <x v="259"/>
    <x v="312"/>
  </r>
  <r>
    <n v="53358"/>
    <x v="14"/>
    <x v="47"/>
    <n v="325"/>
    <n v="34"/>
    <n v="11050"/>
    <x v="366"/>
    <x v="500"/>
  </r>
  <r>
    <n v="64898"/>
    <x v="9"/>
    <x v="47"/>
    <n v="325"/>
    <n v="44"/>
    <n v="14300"/>
    <x v="615"/>
    <x v="368"/>
  </r>
  <r>
    <n v="54907"/>
    <x v="0"/>
    <x v="36"/>
    <n v="796.51"/>
    <n v="14"/>
    <n v="11151.14"/>
    <x v="80"/>
    <x v="90"/>
  </r>
  <r>
    <n v="85896"/>
    <x v="5"/>
    <x v="21"/>
    <n v="534.77"/>
    <n v="32"/>
    <n v="17112.64"/>
    <x v="558"/>
    <x v="84"/>
  </r>
  <r>
    <n v="76453"/>
    <x v="10"/>
    <x v="12"/>
    <n v="875.47"/>
    <n v="12"/>
    <n v="10505.64"/>
    <x v="461"/>
    <x v="593"/>
  </r>
  <r>
    <n v="63527"/>
    <x v="13"/>
    <x v="10"/>
    <n v="233.83"/>
    <n v="40"/>
    <n v="9353.2000000000007"/>
    <x v="395"/>
    <x v="173"/>
  </r>
  <r>
    <n v="53639"/>
    <x v="16"/>
    <x v="8"/>
    <n v="596.97"/>
    <n v="46"/>
    <n v="27460.62"/>
    <x v="269"/>
    <x v="164"/>
  </r>
  <r>
    <n v="44028"/>
    <x v="10"/>
    <x v="35"/>
    <n v="611.66"/>
    <n v="10"/>
    <n v="6116.6"/>
    <x v="616"/>
    <x v="594"/>
  </r>
  <r>
    <n v="22331"/>
    <x v="0"/>
    <x v="31"/>
    <n v="346.37"/>
    <n v="33"/>
    <n v="11430.21"/>
    <x v="132"/>
    <x v="595"/>
  </r>
  <r>
    <n v="22975"/>
    <x v="14"/>
    <x v="42"/>
    <n v="430.1"/>
    <n v="18"/>
    <n v="7741.8"/>
    <x v="327"/>
    <x v="426"/>
  </r>
  <r>
    <n v="90601"/>
    <x v="9"/>
    <x v="29"/>
    <n v="404.9"/>
    <n v="1"/>
    <n v="404.9"/>
    <x v="369"/>
    <x v="596"/>
  </r>
  <r>
    <n v="22989"/>
    <x v="0"/>
    <x v="45"/>
    <n v="890.84"/>
    <n v="30"/>
    <n v="26725.200000000001"/>
    <x v="103"/>
    <x v="293"/>
  </r>
  <r>
    <n v="38182"/>
    <x v="8"/>
    <x v="12"/>
    <n v="875.47"/>
    <n v="31"/>
    <n v="27139.57"/>
    <x v="317"/>
    <x v="553"/>
  </r>
  <r>
    <n v="41743"/>
    <x v="12"/>
    <x v="20"/>
    <n v="93.68"/>
    <n v="9"/>
    <n v="843.12"/>
    <x v="494"/>
    <x v="244"/>
  </r>
  <r>
    <n v="37964"/>
    <x v="14"/>
    <x v="41"/>
    <n v="158.66999999999999"/>
    <n v="4"/>
    <n v="634.67999999999995"/>
    <x v="47"/>
    <x v="535"/>
  </r>
  <r>
    <n v="92261"/>
    <x v="11"/>
    <x v="38"/>
    <n v="45.72"/>
    <n v="23"/>
    <n v="1051.56"/>
    <x v="165"/>
    <x v="550"/>
  </r>
  <r>
    <n v="13114"/>
    <x v="7"/>
    <x v="20"/>
    <n v="93.68"/>
    <n v="14"/>
    <n v="1311.52"/>
    <x v="249"/>
    <x v="180"/>
  </r>
  <r>
    <n v="47618"/>
    <x v="16"/>
    <x v="21"/>
    <n v="534.77"/>
    <n v="43"/>
    <n v="22995.11"/>
    <x v="42"/>
    <x v="77"/>
  </r>
  <r>
    <n v="72143"/>
    <x v="2"/>
    <x v="20"/>
    <n v="93.68"/>
    <n v="35"/>
    <n v="3278.8"/>
    <x v="617"/>
    <x v="133"/>
  </r>
  <r>
    <n v="65315"/>
    <x v="6"/>
    <x v="22"/>
    <n v="468.95"/>
    <n v="24"/>
    <n v="11254.8"/>
    <x v="418"/>
    <x v="492"/>
  </r>
  <r>
    <n v="93811"/>
    <x v="13"/>
    <x v="40"/>
    <n v="795.19"/>
    <n v="36"/>
    <n v="28626.84"/>
    <x v="439"/>
    <x v="332"/>
  </r>
  <r>
    <n v="42174"/>
    <x v="13"/>
    <x v="24"/>
    <n v="323.73"/>
    <n v="15"/>
    <n v="4855.95"/>
    <x v="393"/>
    <x v="230"/>
  </r>
  <r>
    <n v="32187"/>
    <x v="13"/>
    <x v="4"/>
    <n v="546.64"/>
    <n v="23"/>
    <n v="12572.72"/>
    <x v="156"/>
    <x v="25"/>
  </r>
  <r>
    <n v="44983"/>
    <x v="18"/>
    <x v="10"/>
    <n v="233.83"/>
    <n v="19"/>
    <n v="4442.7700000000004"/>
    <x v="606"/>
    <x v="554"/>
  </r>
  <r>
    <n v="19098"/>
    <x v="3"/>
    <x v="28"/>
    <n v="641.34"/>
    <n v="30"/>
    <n v="19240.2"/>
    <x v="212"/>
    <x v="597"/>
  </r>
  <r>
    <n v="40515"/>
    <x v="17"/>
    <x v="3"/>
    <n v="449.74"/>
    <n v="27"/>
    <n v="12142.98"/>
    <x v="519"/>
    <x v="570"/>
  </r>
  <r>
    <n v="30002"/>
    <x v="15"/>
    <x v="23"/>
    <n v="533.15"/>
    <n v="6"/>
    <n v="3198.9"/>
    <x v="303"/>
    <x v="2"/>
  </r>
  <r>
    <n v="52198"/>
    <x v="2"/>
    <x v="6"/>
    <n v="222.47"/>
    <n v="4"/>
    <n v="889.88"/>
    <x v="589"/>
    <x v="381"/>
  </r>
  <r>
    <n v="78195"/>
    <x v="8"/>
    <x v="45"/>
    <n v="890.84"/>
    <n v="34"/>
    <n v="30288.560000000001"/>
    <x v="572"/>
    <x v="288"/>
  </r>
  <r>
    <n v="14352"/>
    <x v="1"/>
    <x v="26"/>
    <n v="730.09"/>
    <n v="43"/>
    <n v="31393.87"/>
    <x v="338"/>
    <x v="539"/>
  </r>
  <r>
    <n v="21287"/>
    <x v="7"/>
    <x v="46"/>
    <n v="346.4"/>
    <n v="30"/>
    <n v="10392"/>
    <x v="403"/>
    <x v="161"/>
  </r>
  <r>
    <n v="38517"/>
    <x v="5"/>
    <x v="38"/>
    <n v="45.72"/>
    <n v="46"/>
    <n v="2103.12"/>
    <x v="497"/>
    <x v="583"/>
  </r>
  <r>
    <n v="70372"/>
    <x v="12"/>
    <x v="3"/>
    <n v="449.74"/>
    <n v="49"/>
    <n v="22037.26"/>
    <x v="576"/>
    <x v="296"/>
  </r>
  <r>
    <n v="40023"/>
    <x v="4"/>
    <x v="47"/>
    <n v="325"/>
    <n v="28"/>
    <n v="9100"/>
    <x v="419"/>
    <x v="588"/>
  </r>
  <r>
    <n v="79493"/>
    <x v="7"/>
    <x v="38"/>
    <n v="45.72"/>
    <n v="26"/>
    <n v="1188.72"/>
    <x v="618"/>
    <x v="251"/>
  </r>
  <r>
    <n v="53859"/>
    <x v="3"/>
    <x v="10"/>
    <n v="233.83"/>
    <n v="42"/>
    <n v="9820.86"/>
    <x v="224"/>
    <x v="357"/>
  </r>
  <r>
    <n v="93238"/>
    <x v="5"/>
    <x v="0"/>
    <n v="855.99"/>
    <n v="32"/>
    <n v="27391.68"/>
    <x v="375"/>
    <x v="540"/>
  </r>
  <r>
    <n v="64188"/>
    <x v="10"/>
    <x v="31"/>
    <n v="346.37"/>
    <n v="36"/>
    <n v="12469.32"/>
    <x v="257"/>
    <x v="598"/>
  </r>
  <r>
    <n v="88130"/>
    <x v="3"/>
    <x v="17"/>
    <n v="366.3"/>
    <n v="34"/>
    <n v="12454.2"/>
    <x v="58"/>
    <x v="413"/>
  </r>
  <r>
    <n v="93148"/>
    <x v="1"/>
    <x v="35"/>
    <n v="611.66"/>
    <n v="27"/>
    <n v="16514.82"/>
    <x v="96"/>
    <x v="227"/>
  </r>
  <r>
    <n v="22271"/>
    <x v="2"/>
    <x v="43"/>
    <n v="870.6"/>
    <n v="46"/>
    <n v="40047.599999999999"/>
    <x v="285"/>
    <x v="599"/>
  </r>
  <r>
    <n v="66081"/>
    <x v="12"/>
    <x v="46"/>
    <n v="346.4"/>
    <n v="32"/>
    <n v="11084.8"/>
    <x v="619"/>
    <x v="505"/>
  </r>
  <r>
    <n v="75111"/>
    <x v="4"/>
    <x v="24"/>
    <n v="323.73"/>
    <n v="38"/>
    <n v="12301.74"/>
    <x v="142"/>
    <x v="253"/>
  </r>
  <r>
    <n v="66218"/>
    <x v="19"/>
    <x v="16"/>
    <n v="654.4"/>
    <n v="15"/>
    <n v="9816"/>
    <x v="579"/>
    <x v="208"/>
  </r>
  <r>
    <n v="58676"/>
    <x v="1"/>
    <x v="32"/>
    <n v="184.57"/>
    <n v="19"/>
    <n v="3506.83"/>
    <x v="494"/>
    <x v="600"/>
  </r>
  <r>
    <n v="89036"/>
    <x v="5"/>
    <x v="5"/>
    <n v="622.16"/>
    <n v="45"/>
    <n v="27997.200000000001"/>
    <x v="169"/>
    <x v="601"/>
  </r>
  <r>
    <n v="15803"/>
    <x v="15"/>
    <x v="2"/>
    <n v="68.05"/>
    <n v="5"/>
    <n v="340.25"/>
    <x v="620"/>
    <x v="108"/>
  </r>
  <r>
    <n v="82484"/>
    <x v="11"/>
    <x v="37"/>
    <n v="753.12"/>
    <n v="12"/>
    <n v="9037.44"/>
    <x v="484"/>
    <x v="379"/>
  </r>
  <r>
    <n v="40180"/>
    <x v="4"/>
    <x v="49"/>
    <n v="761.92"/>
    <n v="2"/>
    <n v="1523.84"/>
    <x v="306"/>
    <x v="132"/>
  </r>
  <r>
    <n v="14998"/>
    <x v="13"/>
    <x v="45"/>
    <n v="890.84"/>
    <n v="3"/>
    <n v="2672.52"/>
    <x v="559"/>
    <x v="290"/>
  </r>
  <r>
    <n v="77014"/>
    <x v="5"/>
    <x v="27"/>
    <n v="399.32"/>
    <n v="13"/>
    <n v="5191.16"/>
    <x v="80"/>
    <x v="254"/>
  </r>
  <r>
    <n v="70774"/>
    <x v="18"/>
    <x v="26"/>
    <n v="730.09"/>
    <n v="2"/>
    <n v="1460.18"/>
    <x v="450"/>
    <x v="602"/>
  </r>
  <r>
    <n v="30062"/>
    <x v="11"/>
    <x v="46"/>
    <n v="346.4"/>
    <n v="9"/>
    <n v="3117.6"/>
    <x v="188"/>
    <x v="210"/>
  </r>
  <r>
    <n v="88856"/>
    <x v="6"/>
    <x v="18"/>
    <n v="617.33000000000004"/>
    <n v="50"/>
    <n v="30866.5"/>
    <x v="321"/>
    <x v="234"/>
  </r>
  <r>
    <n v="20851"/>
    <x v="12"/>
    <x v="9"/>
    <n v="796.94"/>
    <n v="4"/>
    <n v="3187.76"/>
    <x v="107"/>
    <x v="434"/>
  </r>
  <r>
    <n v="16862"/>
    <x v="5"/>
    <x v="46"/>
    <n v="346.4"/>
    <n v="44"/>
    <n v="15241.6"/>
    <x v="185"/>
    <x v="544"/>
  </r>
  <r>
    <n v="67055"/>
    <x v="8"/>
    <x v="20"/>
    <n v="93.68"/>
    <n v="32"/>
    <n v="2997.76"/>
    <x v="62"/>
    <x v="603"/>
  </r>
  <r>
    <n v="42033"/>
    <x v="3"/>
    <x v="35"/>
    <n v="611.66"/>
    <n v="5"/>
    <n v="3058.3"/>
    <x v="310"/>
    <x v="199"/>
  </r>
  <r>
    <n v="75091"/>
    <x v="4"/>
    <x v="18"/>
    <n v="617.33000000000004"/>
    <n v="40"/>
    <n v="24693.200000000001"/>
    <x v="348"/>
    <x v="424"/>
  </r>
  <r>
    <n v="87336"/>
    <x v="7"/>
    <x v="39"/>
    <n v="402.36"/>
    <n v="10"/>
    <n v="4023.6"/>
    <x v="225"/>
    <x v="488"/>
  </r>
  <r>
    <n v="10677"/>
    <x v="12"/>
    <x v="5"/>
    <n v="622.16"/>
    <n v="2"/>
    <n v="1244.32"/>
    <x v="46"/>
    <x v="522"/>
  </r>
  <r>
    <n v="78242"/>
    <x v="17"/>
    <x v="4"/>
    <n v="546.64"/>
    <n v="21"/>
    <n v="11479.44"/>
    <x v="123"/>
    <x v="77"/>
  </r>
  <r>
    <n v="32517"/>
    <x v="5"/>
    <x v="36"/>
    <n v="796.51"/>
    <n v="12"/>
    <n v="9558.1200000000008"/>
    <x v="234"/>
    <x v="32"/>
  </r>
  <r>
    <n v="67333"/>
    <x v="14"/>
    <x v="2"/>
    <n v="68.05"/>
    <n v="11"/>
    <n v="748.55"/>
    <x v="9"/>
    <x v="385"/>
  </r>
  <r>
    <n v="23012"/>
    <x v="19"/>
    <x v="3"/>
    <n v="449.74"/>
    <n v="42"/>
    <n v="18889.080000000002"/>
    <x v="589"/>
    <x v="604"/>
  </r>
  <r>
    <n v="81450"/>
    <x v="1"/>
    <x v="22"/>
    <n v="468.95"/>
    <n v="31"/>
    <n v="14537.45"/>
    <x v="255"/>
    <x v="348"/>
  </r>
  <r>
    <n v="15321"/>
    <x v="17"/>
    <x v="44"/>
    <n v="913.18"/>
    <n v="18"/>
    <n v="16437.240000000002"/>
    <x v="243"/>
    <x v="309"/>
  </r>
  <r>
    <n v="78135"/>
    <x v="14"/>
    <x v="22"/>
    <n v="468.95"/>
    <n v="19"/>
    <n v="8910.0499999999993"/>
    <x v="451"/>
    <x v="558"/>
  </r>
  <r>
    <n v="15324"/>
    <x v="3"/>
    <x v="0"/>
    <n v="855.99"/>
    <n v="19"/>
    <n v="16263.81"/>
    <x v="136"/>
    <x v="376"/>
  </r>
  <r>
    <n v="81835"/>
    <x v="9"/>
    <x v="32"/>
    <n v="184.57"/>
    <n v="14"/>
    <n v="2583.98"/>
    <x v="59"/>
    <x v="338"/>
  </r>
  <r>
    <n v="73029"/>
    <x v="12"/>
    <x v="39"/>
    <n v="402.36"/>
    <n v="49"/>
    <n v="19715.64"/>
    <x v="555"/>
    <x v="253"/>
  </r>
  <r>
    <n v="88449"/>
    <x v="2"/>
    <x v="0"/>
    <n v="855.99"/>
    <n v="11"/>
    <n v="9415.89"/>
    <x v="621"/>
    <x v="257"/>
  </r>
  <r>
    <n v="78095"/>
    <x v="12"/>
    <x v="45"/>
    <n v="890.84"/>
    <n v="10"/>
    <n v="8908.4"/>
    <x v="14"/>
    <x v="605"/>
  </r>
  <r>
    <n v="32299"/>
    <x v="0"/>
    <x v="4"/>
    <n v="546.64"/>
    <n v="16"/>
    <n v="8746.24"/>
    <x v="303"/>
    <x v="355"/>
  </r>
  <r>
    <n v="82588"/>
    <x v="0"/>
    <x v="22"/>
    <n v="468.95"/>
    <n v="5"/>
    <n v="2344.75"/>
    <x v="616"/>
    <x v="301"/>
  </r>
  <r>
    <n v="27476"/>
    <x v="3"/>
    <x v="37"/>
    <n v="753.12"/>
    <n v="11"/>
    <n v="8284.32"/>
    <x v="75"/>
    <x v="606"/>
  </r>
  <r>
    <n v="61176"/>
    <x v="2"/>
    <x v="1"/>
    <n v="683.98"/>
    <n v="4"/>
    <n v="2735.92"/>
    <x v="22"/>
    <x v="546"/>
  </r>
  <r>
    <n v="66688"/>
    <x v="1"/>
    <x v="47"/>
    <n v="325"/>
    <n v="37"/>
    <n v="12025"/>
    <x v="364"/>
    <x v="597"/>
  </r>
  <r>
    <n v="50468"/>
    <x v="8"/>
    <x v="24"/>
    <n v="323.73"/>
    <n v="25"/>
    <n v="8093.25"/>
    <x v="580"/>
    <x v="112"/>
  </r>
  <r>
    <n v="91843"/>
    <x v="4"/>
    <x v="45"/>
    <n v="890.84"/>
    <n v="17"/>
    <n v="15144.28"/>
    <x v="603"/>
    <x v="607"/>
  </r>
  <r>
    <n v="53759"/>
    <x v="18"/>
    <x v="33"/>
    <n v="705.68"/>
    <n v="3"/>
    <n v="2117.04"/>
    <x v="329"/>
    <x v="513"/>
  </r>
  <r>
    <n v="66542"/>
    <x v="8"/>
    <x v="3"/>
    <n v="449.74"/>
    <n v="11"/>
    <n v="4947.1400000000003"/>
    <x v="444"/>
    <x v="608"/>
  </r>
  <r>
    <n v="36606"/>
    <x v="16"/>
    <x v="7"/>
    <n v="101.12"/>
    <n v="46"/>
    <n v="4651.5200000000004"/>
    <x v="524"/>
    <x v="385"/>
  </r>
  <r>
    <n v="99261"/>
    <x v="14"/>
    <x v="42"/>
    <n v="430.1"/>
    <n v="30"/>
    <n v="12903"/>
    <x v="409"/>
    <x v="605"/>
  </r>
  <r>
    <n v="73064"/>
    <x v="7"/>
    <x v="4"/>
    <n v="546.64"/>
    <n v="4"/>
    <n v="2186.56"/>
    <x v="177"/>
    <x v="609"/>
  </r>
  <r>
    <n v="97788"/>
    <x v="10"/>
    <x v="31"/>
    <n v="346.37"/>
    <n v="46"/>
    <n v="15933.02"/>
    <x v="622"/>
    <x v="15"/>
  </r>
  <r>
    <n v="87317"/>
    <x v="5"/>
    <x v="8"/>
    <n v="596.97"/>
    <n v="7"/>
    <n v="4178.79"/>
    <x v="623"/>
    <x v="566"/>
  </r>
  <r>
    <n v="91642"/>
    <x v="1"/>
    <x v="9"/>
    <n v="796.94"/>
    <n v="22"/>
    <n v="17532.68"/>
    <x v="55"/>
    <x v="380"/>
  </r>
  <r>
    <n v="80708"/>
    <x v="2"/>
    <x v="38"/>
    <n v="45.72"/>
    <n v="14"/>
    <n v="640.08000000000004"/>
    <x v="221"/>
    <x v="498"/>
  </r>
  <r>
    <n v="78423"/>
    <x v="12"/>
    <x v="6"/>
    <n v="222.47"/>
    <n v="45"/>
    <n v="10011.15"/>
    <x v="624"/>
    <x v="188"/>
  </r>
  <r>
    <n v="50373"/>
    <x v="13"/>
    <x v="0"/>
    <n v="855.99"/>
    <n v="10"/>
    <n v="8559.9"/>
    <x v="304"/>
    <x v="128"/>
  </r>
  <r>
    <n v="79173"/>
    <x v="19"/>
    <x v="13"/>
    <n v="110.41"/>
    <n v="19"/>
    <n v="2097.79"/>
    <x v="365"/>
    <x v="27"/>
  </r>
  <r>
    <n v="77444"/>
    <x v="19"/>
    <x v="44"/>
    <n v="913.18"/>
    <n v="45"/>
    <n v="41093.1"/>
    <x v="506"/>
    <x v="484"/>
  </r>
  <r>
    <n v="76784"/>
    <x v="0"/>
    <x v="43"/>
    <n v="870.6"/>
    <n v="30"/>
    <n v="26118"/>
    <x v="261"/>
    <x v="430"/>
  </r>
  <r>
    <n v="79443"/>
    <x v="15"/>
    <x v="24"/>
    <n v="323.73"/>
    <n v="44"/>
    <n v="14244.12"/>
    <x v="218"/>
    <x v="437"/>
  </r>
  <r>
    <n v="11132"/>
    <x v="6"/>
    <x v="39"/>
    <n v="402.36"/>
    <n v="12"/>
    <n v="4828.32"/>
    <x v="179"/>
    <x v="513"/>
  </r>
  <r>
    <n v="33474"/>
    <x v="6"/>
    <x v="46"/>
    <n v="346.4"/>
    <n v="35"/>
    <n v="12124"/>
    <x v="417"/>
    <x v="433"/>
  </r>
  <r>
    <n v="45215"/>
    <x v="3"/>
    <x v="17"/>
    <n v="366.3"/>
    <n v="9"/>
    <n v="3296.7"/>
    <x v="525"/>
    <x v="368"/>
  </r>
  <r>
    <n v="59465"/>
    <x v="4"/>
    <x v="31"/>
    <n v="346.37"/>
    <n v="5"/>
    <n v="1731.85"/>
    <x v="546"/>
    <x v="568"/>
  </r>
  <r>
    <n v="36992"/>
    <x v="5"/>
    <x v="28"/>
    <n v="641.34"/>
    <n v="31"/>
    <n v="19881.54"/>
    <x v="292"/>
    <x v="336"/>
  </r>
  <r>
    <n v="79034"/>
    <x v="5"/>
    <x v="35"/>
    <n v="611.66"/>
    <n v="48"/>
    <n v="29359.68"/>
    <x v="625"/>
    <x v="263"/>
  </r>
  <r>
    <n v="47550"/>
    <x v="3"/>
    <x v="40"/>
    <n v="795.19"/>
    <n v="27"/>
    <n v="21470.13"/>
    <x v="83"/>
    <x v="221"/>
  </r>
  <r>
    <n v="41255"/>
    <x v="2"/>
    <x v="26"/>
    <n v="730.09"/>
    <n v="46"/>
    <n v="33584.14"/>
    <x v="305"/>
    <x v="370"/>
  </r>
  <r>
    <n v="43961"/>
    <x v="7"/>
    <x v="3"/>
    <n v="449.74"/>
    <n v="41"/>
    <n v="18439.34"/>
    <x v="428"/>
    <x v="135"/>
  </r>
  <r>
    <n v="80233"/>
    <x v="12"/>
    <x v="40"/>
    <n v="795.19"/>
    <n v="31"/>
    <n v="24650.89"/>
    <x v="311"/>
    <x v="107"/>
  </r>
  <r>
    <n v="42775"/>
    <x v="10"/>
    <x v="19"/>
    <n v="682.74"/>
    <n v="21"/>
    <n v="14337.54"/>
    <x v="170"/>
    <x v="50"/>
  </r>
  <r>
    <n v="51232"/>
    <x v="15"/>
    <x v="13"/>
    <n v="110.41"/>
    <n v="13"/>
    <n v="1435.33"/>
    <x v="200"/>
    <x v="345"/>
  </r>
  <r>
    <n v="33591"/>
    <x v="6"/>
    <x v="12"/>
    <n v="875.47"/>
    <n v="8"/>
    <n v="7003.76"/>
    <x v="2"/>
    <x v="306"/>
  </r>
  <r>
    <n v="38337"/>
    <x v="1"/>
    <x v="7"/>
    <n v="101.12"/>
    <n v="26"/>
    <n v="2629.12"/>
    <x v="593"/>
    <x v="233"/>
  </r>
  <r>
    <n v="23581"/>
    <x v="18"/>
    <x v="23"/>
    <n v="533.15"/>
    <n v="26"/>
    <n v="13861.9"/>
    <x v="626"/>
    <x v="259"/>
  </r>
  <r>
    <n v="98888"/>
    <x v="5"/>
    <x v="6"/>
    <n v="222.47"/>
    <n v="21"/>
    <n v="4671.87"/>
    <x v="184"/>
    <x v="171"/>
  </r>
  <r>
    <n v="60931"/>
    <x v="19"/>
    <x v="35"/>
    <n v="611.66"/>
    <n v="17"/>
    <n v="10398.219999999999"/>
    <x v="627"/>
    <x v="82"/>
  </r>
  <r>
    <n v="67242"/>
    <x v="8"/>
    <x v="47"/>
    <n v="325"/>
    <n v="5"/>
    <n v="1625"/>
    <x v="550"/>
    <x v="534"/>
  </r>
  <r>
    <n v="61943"/>
    <x v="4"/>
    <x v="24"/>
    <n v="323.73"/>
    <n v="28"/>
    <n v="9064.44"/>
    <x v="280"/>
    <x v="338"/>
  </r>
  <r>
    <n v="15552"/>
    <x v="0"/>
    <x v="41"/>
    <n v="158.66999999999999"/>
    <n v="2"/>
    <n v="317.33999999999997"/>
    <x v="102"/>
    <x v="610"/>
  </r>
  <r>
    <n v="41164"/>
    <x v="1"/>
    <x v="21"/>
    <n v="534.77"/>
    <n v="11"/>
    <n v="5882.47"/>
    <x v="484"/>
    <x v="302"/>
  </r>
  <r>
    <n v="93170"/>
    <x v="9"/>
    <x v="34"/>
    <n v="474.55"/>
    <n v="50"/>
    <n v="23727.5"/>
    <x v="486"/>
    <x v="331"/>
  </r>
  <r>
    <n v="34681"/>
    <x v="9"/>
    <x v="8"/>
    <n v="596.97"/>
    <n v="19"/>
    <n v="11342.43"/>
    <x v="628"/>
    <x v="128"/>
  </r>
  <r>
    <n v="68982"/>
    <x v="11"/>
    <x v="47"/>
    <n v="325"/>
    <n v="44"/>
    <n v="14300"/>
    <x v="232"/>
    <x v="117"/>
  </r>
  <r>
    <n v="68202"/>
    <x v="11"/>
    <x v="40"/>
    <n v="795.19"/>
    <n v="22"/>
    <n v="17494.18"/>
    <x v="516"/>
    <x v="406"/>
  </r>
  <r>
    <n v="94455"/>
    <x v="13"/>
    <x v="1"/>
    <n v="683.98"/>
    <n v="5"/>
    <n v="3419.9"/>
    <x v="493"/>
    <x v="107"/>
  </r>
  <r>
    <n v="64474"/>
    <x v="16"/>
    <x v="4"/>
    <n v="546.64"/>
    <n v="2"/>
    <n v="1093.28"/>
    <x v="73"/>
    <x v="578"/>
  </r>
  <r>
    <n v="48289"/>
    <x v="11"/>
    <x v="16"/>
    <n v="654.4"/>
    <n v="27"/>
    <n v="17668.8"/>
    <x v="238"/>
    <x v="251"/>
  </r>
  <r>
    <n v="25710"/>
    <x v="6"/>
    <x v="39"/>
    <n v="402.36"/>
    <n v="16"/>
    <n v="6437.76"/>
    <x v="629"/>
    <x v="553"/>
  </r>
  <r>
    <n v="19138"/>
    <x v="6"/>
    <x v="7"/>
    <n v="101.12"/>
    <n v="24"/>
    <n v="2426.88"/>
    <x v="469"/>
    <x v="468"/>
  </r>
  <r>
    <n v="49170"/>
    <x v="18"/>
    <x v="27"/>
    <n v="399.32"/>
    <n v="2"/>
    <n v="798.64"/>
    <x v="594"/>
    <x v="611"/>
  </r>
  <r>
    <n v="77555"/>
    <x v="10"/>
    <x v="39"/>
    <n v="402.36"/>
    <n v="42"/>
    <n v="16899.12"/>
    <x v="139"/>
    <x v="232"/>
  </r>
  <r>
    <n v="58019"/>
    <x v="16"/>
    <x v="14"/>
    <n v="112.52"/>
    <n v="10"/>
    <n v="1125.2"/>
    <x v="239"/>
    <x v="612"/>
  </r>
  <r>
    <n v="74853"/>
    <x v="17"/>
    <x v="37"/>
    <n v="753.12"/>
    <n v="38"/>
    <n v="28618.560000000001"/>
    <x v="619"/>
    <x v="559"/>
  </r>
  <r>
    <n v="80172"/>
    <x v="18"/>
    <x v="23"/>
    <n v="533.15"/>
    <n v="33"/>
    <n v="17593.95"/>
    <x v="226"/>
    <x v="577"/>
  </r>
  <r>
    <n v="24725"/>
    <x v="0"/>
    <x v="46"/>
    <n v="346.4"/>
    <n v="3"/>
    <n v="1039.2"/>
    <x v="116"/>
    <x v="61"/>
  </r>
  <r>
    <n v="97468"/>
    <x v="10"/>
    <x v="27"/>
    <n v="399.32"/>
    <n v="29"/>
    <n v="11580.28"/>
    <x v="26"/>
    <x v="392"/>
  </r>
  <r>
    <n v="80734"/>
    <x v="5"/>
    <x v="39"/>
    <n v="402.36"/>
    <n v="14"/>
    <n v="5633.04"/>
    <x v="243"/>
    <x v="52"/>
  </r>
  <r>
    <n v="77629"/>
    <x v="1"/>
    <x v="37"/>
    <n v="753.12"/>
    <n v="35"/>
    <n v="26359.200000000001"/>
    <x v="70"/>
    <x v="246"/>
  </r>
  <r>
    <n v="10795"/>
    <x v="2"/>
    <x v="26"/>
    <n v="730.09"/>
    <n v="4"/>
    <n v="2920.36"/>
    <x v="96"/>
    <x v="76"/>
  </r>
  <r>
    <n v="50726"/>
    <x v="8"/>
    <x v="14"/>
    <n v="112.52"/>
    <n v="40"/>
    <n v="4500.8"/>
    <x v="191"/>
    <x v="453"/>
  </r>
  <r>
    <n v="53063"/>
    <x v="8"/>
    <x v="26"/>
    <n v="730.09"/>
    <n v="45"/>
    <n v="32854.050000000003"/>
    <x v="68"/>
    <x v="363"/>
  </r>
  <r>
    <n v="30854"/>
    <x v="15"/>
    <x v="37"/>
    <n v="753.12"/>
    <n v="37"/>
    <n v="27865.439999999999"/>
    <x v="124"/>
    <x v="152"/>
  </r>
  <r>
    <n v="61183"/>
    <x v="11"/>
    <x v="47"/>
    <n v="325"/>
    <n v="35"/>
    <n v="11375"/>
    <x v="470"/>
    <x v="247"/>
  </r>
  <r>
    <n v="93190"/>
    <x v="6"/>
    <x v="40"/>
    <n v="795.19"/>
    <n v="29"/>
    <n v="23060.51"/>
    <x v="630"/>
    <x v="576"/>
  </r>
  <r>
    <n v="21951"/>
    <x v="8"/>
    <x v="33"/>
    <n v="705.68"/>
    <n v="29"/>
    <n v="20464.72"/>
    <x v="395"/>
    <x v="613"/>
  </r>
  <r>
    <n v="81699"/>
    <x v="11"/>
    <x v="37"/>
    <n v="753.12"/>
    <n v="28"/>
    <n v="21087.360000000001"/>
    <x v="209"/>
    <x v="543"/>
  </r>
  <r>
    <n v="35611"/>
    <x v="18"/>
    <x v="14"/>
    <n v="112.52"/>
    <n v="41"/>
    <n v="4613.32"/>
    <x v="295"/>
    <x v="6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n v="68847"/>
    <s v="WD343"/>
    <x v="0"/>
    <n v="855.99"/>
    <n v="10"/>
    <n v="8559.9"/>
    <x v="0"/>
    <d v="2024-03-09T00:00:00"/>
  </r>
  <r>
    <n v="83031"/>
    <s v="GP381"/>
    <x v="1"/>
    <n v="683.98"/>
    <n v="27"/>
    <n v="18467.46"/>
    <x v="1"/>
    <d v="2024-06-12T00:00:00"/>
  </r>
  <r>
    <n v="28616"/>
    <s v="FL553"/>
    <x v="2"/>
    <n v="68.05"/>
    <n v="47"/>
    <n v="3198.35"/>
    <x v="2"/>
    <d v="2023-02-18T00:00:00"/>
  </r>
  <r>
    <n v="64807"/>
    <s v="RR309"/>
    <x v="3"/>
    <n v="449.74"/>
    <n v="5"/>
    <n v="2248.6999999999998"/>
    <x v="3"/>
    <d v="2024-02-02T00:00:00"/>
  </r>
  <r>
    <n v="94901"/>
    <s v="PL284"/>
    <x v="4"/>
    <n v="546.64"/>
    <n v="19"/>
    <n v="10386.16"/>
    <x v="4"/>
    <d v="2024-04-21T00:00:00"/>
  </r>
  <r>
    <n v="36511"/>
    <s v="MT731"/>
    <x v="5"/>
    <n v="622.16"/>
    <n v="19"/>
    <n v="11821.04"/>
    <x v="5"/>
    <d v="2024-12-04T00:00:00"/>
  </r>
  <r>
    <n v="55572"/>
    <s v="MT731"/>
    <x v="6"/>
    <n v="222.47"/>
    <n v="4"/>
    <n v="889.88"/>
    <x v="6"/>
    <d v="2024-11-02T00:00:00"/>
  </r>
  <r>
    <n v="65597"/>
    <s v="SV938"/>
    <x v="7"/>
    <n v="101.12"/>
    <n v="40"/>
    <n v="4044.8"/>
    <x v="7"/>
    <d v="2023-10-27T00:00:00"/>
  </r>
  <r>
    <n v="46726"/>
    <s v="CB356"/>
    <x v="8"/>
    <n v="596.97"/>
    <n v="42"/>
    <n v="25072.74"/>
    <x v="8"/>
    <d v="2024-08-04T00:00:00"/>
  </r>
  <r>
    <n v="72837"/>
    <s v="GP381"/>
    <x v="9"/>
    <n v="796.94"/>
    <n v="24"/>
    <n v="19126.560000000001"/>
    <x v="9"/>
    <d v="2024-07-21T00:00:00"/>
  </r>
  <r>
    <n v="27383"/>
    <s v="HG412"/>
    <x v="4"/>
    <n v="546.64"/>
    <n v="10"/>
    <n v="5466.4"/>
    <x v="10"/>
    <d v="2024-06-22T00:00:00"/>
  </r>
  <r>
    <n v="58022"/>
    <s v="GH786"/>
    <x v="10"/>
    <n v="233.83"/>
    <n v="31"/>
    <n v="7248.73"/>
    <x v="11"/>
    <d v="2023-06-28T00:00:00"/>
  </r>
  <r>
    <n v="34963"/>
    <s v="HN871"/>
    <x v="11"/>
    <n v="988.47"/>
    <n v="41"/>
    <n v="40527.269999999997"/>
    <x v="12"/>
    <d v="2024-12-24T00:00:00"/>
  </r>
  <r>
    <n v="29750"/>
    <s v="CB356"/>
    <x v="12"/>
    <n v="875.47"/>
    <n v="10"/>
    <n v="8754.7000000000007"/>
    <x v="13"/>
    <d v="2023-12-08T00:00:00"/>
  </r>
  <r>
    <n v="30701"/>
    <s v="BL462"/>
    <x v="3"/>
    <n v="449.74"/>
    <n v="3"/>
    <n v="1349.22"/>
    <x v="14"/>
    <d v="2024-11-12T00:00:00"/>
  </r>
  <r>
    <n v="78592"/>
    <s v="GP381"/>
    <x v="13"/>
    <n v="110.41"/>
    <n v="45"/>
    <n v="4968.45"/>
    <x v="15"/>
    <d v="2023-03-26T00:00:00"/>
  </r>
  <r>
    <n v="47712"/>
    <s v="FL553"/>
    <x v="14"/>
    <n v="112.52"/>
    <n v="21"/>
    <n v="2362.92"/>
    <x v="16"/>
    <d v="2023-10-23T00:00:00"/>
  </r>
  <r>
    <n v="51655"/>
    <s v="MT731"/>
    <x v="15"/>
    <n v="608.37"/>
    <n v="23"/>
    <n v="13992.51"/>
    <x v="17"/>
    <d v="2023-10-12T00:00:00"/>
  </r>
  <r>
    <n v="80196"/>
    <s v="GB310"/>
    <x v="9"/>
    <n v="796.94"/>
    <n v="44"/>
    <n v="35065.360000000001"/>
    <x v="18"/>
    <d v="2024-09-29T00:00:00"/>
  </r>
  <r>
    <n v="91146"/>
    <s v="BZ515"/>
    <x v="16"/>
    <n v="654.4"/>
    <n v="18"/>
    <n v="11779.2"/>
    <x v="19"/>
    <d v="2024-05-09T00:00:00"/>
  </r>
  <r>
    <n v="55666"/>
    <s v="HN871"/>
    <x v="17"/>
    <n v="366.3"/>
    <n v="1"/>
    <n v="366.3"/>
    <x v="20"/>
    <d v="2024-05-11T00:00:00"/>
  </r>
  <r>
    <n v="39787"/>
    <s v="HN871"/>
    <x v="6"/>
    <n v="222.47"/>
    <n v="8"/>
    <n v="1779.76"/>
    <x v="21"/>
    <d v="2023-12-31T00:00:00"/>
  </r>
  <r>
    <n v="24077"/>
    <s v="GP381"/>
    <x v="18"/>
    <n v="617.33000000000004"/>
    <n v="50"/>
    <n v="30866.5"/>
    <x v="22"/>
    <d v="2024-01-11T00:00:00"/>
  </r>
  <r>
    <n v="78821"/>
    <s v="HG412"/>
    <x v="7"/>
    <n v="101.12"/>
    <n v="47"/>
    <n v="4752.6400000000003"/>
    <x v="23"/>
    <d v="2024-01-11T00:00:00"/>
  </r>
  <r>
    <n v="38364"/>
    <s v="WI591"/>
    <x v="19"/>
    <n v="682.74"/>
    <n v="32"/>
    <n v="21847.68"/>
    <x v="24"/>
    <d v="2024-09-13T00:00:00"/>
  </r>
  <r>
    <n v="10223"/>
    <s v="GB310"/>
    <x v="20"/>
    <n v="93.68"/>
    <n v="11"/>
    <n v="1030.48"/>
    <x v="25"/>
    <d v="2024-01-31T00:00:00"/>
  </r>
  <r>
    <n v="82618"/>
    <s v="MT731"/>
    <x v="21"/>
    <n v="534.77"/>
    <n v="39"/>
    <n v="20856.03"/>
    <x v="26"/>
    <d v="2023-06-22T00:00:00"/>
  </r>
  <r>
    <n v="33011"/>
    <s v="GP381"/>
    <x v="9"/>
    <n v="796.94"/>
    <n v="35"/>
    <n v="27892.9"/>
    <x v="27"/>
    <d v="2024-07-01T00:00:00"/>
  </r>
  <r>
    <n v="81551"/>
    <s v="MT731"/>
    <x v="22"/>
    <n v="468.95"/>
    <n v="14"/>
    <n v="6565.3"/>
    <x v="28"/>
    <d v="2023-10-26T00:00:00"/>
  </r>
  <r>
    <n v="98246"/>
    <s v="RR309"/>
    <x v="23"/>
    <n v="533.15"/>
    <n v="19"/>
    <n v="10129.85"/>
    <x v="29"/>
    <d v="2023-04-21T00:00:00"/>
  </r>
  <r>
    <n v="94211"/>
    <s v="PL284"/>
    <x v="0"/>
    <n v="855.99"/>
    <n v="9"/>
    <n v="7703.91"/>
    <x v="30"/>
    <d v="2024-05-17T00:00:00"/>
  </r>
  <r>
    <n v="38449"/>
    <s v="MT731"/>
    <x v="24"/>
    <n v="323.73"/>
    <n v="15"/>
    <n v="4855.95"/>
    <x v="31"/>
    <d v="2024-09-16T00:00:00"/>
  </r>
  <r>
    <n v="35521"/>
    <s v="MS200"/>
    <x v="7"/>
    <n v="101.12"/>
    <n v="34"/>
    <n v="3438.08"/>
    <x v="6"/>
    <d v="2024-07-13T00:00:00"/>
  </r>
  <r>
    <n v="96352"/>
    <s v="HL575"/>
    <x v="25"/>
    <n v="972.24"/>
    <n v="19"/>
    <n v="18472.560000000001"/>
    <x v="32"/>
    <d v="2024-01-04T00:00:00"/>
  </r>
  <r>
    <n v="76287"/>
    <s v="SV938"/>
    <x v="26"/>
    <n v="730.09"/>
    <n v="50"/>
    <n v="36504.5"/>
    <x v="33"/>
    <d v="2024-12-14T00:00:00"/>
  </r>
  <r>
    <n v="63146"/>
    <s v="RR309"/>
    <x v="27"/>
    <n v="399.32"/>
    <n v="22"/>
    <n v="8785.0400000000009"/>
    <x v="34"/>
    <d v="2023-04-04T00:00:00"/>
  </r>
  <r>
    <n v="50128"/>
    <s v="PL284"/>
    <x v="28"/>
    <n v="641.34"/>
    <n v="2"/>
    <n v="1282.68"/>
    <x v="35"/>
    <d v="2024-11-29T00:00:00"/>
  </r>
  <r>
    <n v="68801"/>
    <s v="SV938"/>
    <x v="29"/>
    <n v="404.9"/>
    <n v="38"/>
    <n v="15386.2"/>
    <x v="36"/>
    <d v="2023-08-21T00:00:00"/>
  </r>
  <r>
    <n v="25394"/>
    <s v="HG412"/>
    <x v="30"/>
    <n v="988.73"/>
    <n v="31"/>
    <n v="30650.63"/>
    <x v="37"/>
    <d v="2024-01-06T00:00:00"/>
  </r>
  <r>
    <n v="13698"/>
    <s v="OS572"/>
    <x v="11"/>
    <n v="988.47"/>
    <n v="47"/>
    <n v="46458.09"/>
    <x v="38"/>
    <d v="2023-05-24T00:00:00"/>
  </r>
  <r>
    <n v="84141"/>
    <s v="PL284"/>
    <x v="31"/>
    <n v="346.37"/>
    <n v="1"/>
    <n v="346.37"/>
    <x v="39"/>
    <d v="2024-09-10T00:00:00"/>
  </r>
  <r>
    <n v="18797"/>
    <s v="RR309"/>
    <x v="32"/>
    <n v="184.57"/>
    <n v="37"/>
    <n v="6829.09"/>
    <x v="40"/>
    <d v="2024-02-25T00:00:00"/>
  </r>
  <r>
    <n v="50408"/>
    <s v="FL553"/>
    <x v="10"/>
    <n v="233.83"/>
    <n v="23"/>
    <n v="5378.09"/>
    <x v="10"/>
    <d v="2024-01-21T00:00:00"/>
  </r>
  <r>
    <n v="80257"/>
    <s v="BZ515"/>
    <x v="30"/>
    <n v="988.73"/>
    <n v="16"/>
    <n v="15819.68"/>
    <x v="41"/>
    <d v="2024-02-19T00:00:00"/>
  </r>
  <r>
    <n v="77679"/>
    <s v="GP381"/>
    <x v="33"/>
    <n v="705.68"/>
    <n v="3"/>
    <n v="2117.04"/>
    <x v="42"/>
    <d v="2023-04-22T00:00:00"/>
  </r>
  <r>
    <n v="49607"/>
    <s v="GH786"/>
    <x v="26"/>
    <n v="730.09"/>
    <n v="25"/>
    <n v="18252.25"/>
    <x v="43"/>
    <d v="2023-03-30T00:00:00"/>
  </r>
  <r>
    <n v="50693"/>
    <s v="PL284"/>
    <x v="20"/>
    <n v="93.68"/>
    <n v="16"/>
    <n v="1498.88"/>
    <x v="44"/>
    <d v="2024-03-20T00:00:00"/>
  </r>
  <r>
    <n v="67494"/>
    <s v="WD343"/>
    <x v="34"/>
    <n v="474.55"/>
    <n v="31"/>
    <n v="14711.05"/>
    <x v="24"/>
    <d v="2023-05-04T00:00:00"/>
  </r>
  <r>
    <n v="37544"/>
    <s v="PL284"/>
    <x v="7"/>
    <n v="101.12"/>
    <n v="4"/>
    <n v="404.48"/>
    <x v="45"/>
    <d v="2023-04-01T00:00:00"/>
  </r>
  <r>
    <n v="35281"/>
    <s v="CB356"/>
    <x v="35"/>
    <n v="611.66"/>
    <n v="11"/>
    <n v="6728.26"/>
    <x v="46"/>
    <d v="2024-03-22T00:00:00"/>
  </r>
  <r>
    <n v="88767"/>
    <s v="PL284"/>
    <x v="28"/>
    <n v="641.34"/>
    <n v="15"/>
    <n v="9620.1"/>
    <x v="47"/>
    <d v="2024-04-08T00:00:00"/>
  </r>
  <r>
    <n v="26282"/>
    <s v="RR354"/>
    <x v="28"/>
    <n v="641.34"/>
    <n v="32"/>
    <n v="20522.88"/>
    <x v="48"/>
    <d v="2024-07-04T00:00:00"/>
  </r>
  <r>
    <n v="11554"/>
    <s v="GP381"/>
    <x v="10"/>
    <n v="233.83"/>
    <n v="9"/>
    <n v="2104.4699999999998"/>
    <x v="49"/>
    <d v="2023-11-14T00:00:00"/>
  </r>
  <r>
    <n v="38707"/>
    <s v="CB356"/>
    <x v="36"/>
    <n v="796.51"/>
    <n v="24"/>
    <n v="19116.240000000002"/>
    <x v="50"/>
    <d v="2024-09-14T00:00:00"/>
  </r>
  <r>
    <n v="97930"/>
    <s v="BZ515"/>
    <x v="37"/>
    <n v="753.12"/>
    <n v="39"/>
    <n v="29371.68"/>
    <x v="51"/>
    <d v="2024-03-28T00:00:00"/>
  </r>
  <r>
    <n v="71505"/>
    <s v="MT731"/>
    <x v="38"/>
    <n v="45.72"/>
    <n v="33"/>
    <n v="1508.76"/>
    <x v="31"/>
    <d v="2024-09-08T00:00:00"/>
  </r>
  <r>
    <n v="10256"/>
    <s v="SL727"/>
    <x v="26"/>
    <n v="730.09"/>
    <n v="50"/>
    <n v="36504.5"/>
    <x v="52"/>
    <d v="2023-01-29T00:00:00"/>
  </r>
  <r>
    <n v="31798"/>
    <s v="GP381"/>
    <x v="23"/>
    <n v="533.15"/>
    <n v="1"/>
    <n v="533.15"/>
    <x v="53"/>
    <d v="2024-12-05T00:00:00"/>
  </r>
  <r>
    <n v="99422"/>
    <s v="MT731"/>
    <x v="39"/>
    <n v="402.36"/>
    <n v="17"/>
    <n v="6840.12"/>
    <x v="54"/>
    <d v="2023-05-10T00:00:00"/>
  </r>
  <r>
    <n v="43867"/>
    <s v="BZ515"/>
    <x v="5"/>
    <n v="622.16"/>
    <n v="6"/>
    <n v="3732.96"/>
    <x v="55"/>
    <d v="2023-05-06T00:00:00"/>
  </r>
  <r>
    <n v="16737"/>
    <s v="SV938"/>
    <x v="19"/>
    <n v="682.74"/>
    <n v="20"/>
    <n v="13654.8"/>
    <x v="56"/>
    <d v="2023-08-19T00:00:00"/>
  </r>
  <r>
    <n v="76914"/>
    <s v="FL553"/>
    <x v="14"/>
    <n v="112.52"/>
    <n v="10"/>
    <n v="1125.2"/>
    <x v="57"/>
    <d v="2023-10-05T00:00:00"/>
  </r>
  <r>
    <n v="37599"/>
    <s v="PL284"/>
    <x v="24"/>
    <n v="323.73"/>
    <n v="36"/>
    <n v="11654.28"/>
    <x v="58"/>
    <d v="2024-04-11T00:00:00"/>
  </r>
  <r>
    <n v="37765"/>
    <s v="CB356"/>
    <x v="28"/>
    <n v="641.34"/>
    <n v="4"/>
    <n v="2565.36"/>
    <x v="59"/>
    <d v="2023-12-07T00:00:00"/>
  </r>
  <r>
    <n v="13346"/>
    <s v="CB356"/>
    <x v="4"/>
    <n v="546.64"/>
    <n v="43"/>
    <n v="23505.52"/>
    <x v="60"/>
    <d v="2024-11-02T00:00:00"/>
  </r>
  <r>
    <n v="44639"/>
    <s v="PL284"/>
    <x v="31"/>
    <n v="346.37"/>
    <n v="38"/>
    <n v="13162.06"/>
    <x v="61"/>
    <d v="2024-05-15T00:00:00"/>
  </r>
  <r>
    <n v="90942"/>
    <s v="RR354"/>
    <x v="25"/>
    <n v="972.24"/>
    <n v="17"/>
    <n v="16528.080000000002"/>
    <x v="62"/>
    <d v="2024-01-19T00:00:00"/>
  </r>
  <r>
    <n v="61167"/>
    <s v="BL462"/>
    <x v="25"/>
    <n v="972.24"/>
    <n v="28"/>
    <n v="27222.720000000001"/>
    <x v="63"/>
    <d v="2024-02-20T00:00:00"/>
  </r>
  <r>
    <n v="24459"/>
    <s v="SL727"/>
    <x v="3"/>
    <n v="449.74"/>
    <n v="38"/>
    <n v="17090.12"/>
    <x v="64"/>
    <d v="2024-04-23T00:00:00"/>
  </r>
  <r>
    <n v="71475"/>
    <s v="GH786"/>
    <x v="22"/>
    <n v="468.95"/>
    <n v="16"/>
    <n v="7503.2"/>
    <x v="65"/>
    <d v="2023-03-02T00:00:00"/>
  </r>
  <r>
    <n v="45858"/>
    <s v="MT731"/>
    <x v="14"/>
    <n v="112.52"/>
    <n v="36"/>
    <n v="4050.72"/>
    <x v="66"/>
    <d v="2024-01-04T00:00:00"/>
  </r>
  <r>
    <n v="18132"/>
    <s v="GH786"/>
    <x v="10"/>
    <n v="233.83"/>
    <n v="19"/>
    <n v="4442.7700000000004"/>
    <x v="67"/>
    <d v="2024-01-26T00:00:00"/>
  </r>
  <r>
    <n v="88176"/>
    <s v="MS200"/>
    <x v="40"/>
    <n v="795.19"/>
    <n v="16"/>
    <n v="12723.04"/>
    <x v="68"/>
    <d v="2023-05-16T00:00:00"/>
  </r>
  <r>
    <n v="61558"/>
    <s v="SL727"/>
    <x v="30"/>
    <n v="988.73"/>
    <n v="40"/>
    <n v="39549.199999999997"/>
    <x v="69"/>
    <d v="2023-12-04T00:00:00"/>
  </r>
  <r>
    <n v="67179"/>
    <s v="GB310"/>
    <x v="16"/>
    <n v="654.4"/>
    <n v="50"/>
    <n v="32720"/>
    <x v="70"/>
    <d v="2023-04-22T00:00:00"/>
  </r>
  <r>
    <n v="13723"/>
    <s v="GH786"/>
    <x v="1"/>
    <n v="683.98"/>
    <n v="25"/>
    <n v="17099.5"/>
    <x v="64"/>
    <d v="2024-07-12T00:00:00"/>
  </r>
  <r>
    <n v="19937"/>
    <s v="HL575"/>
    <x v="18"/>
    <n v="617.33000000000004"/>
    <n v="44"/>
    <n v="27162.52"/>
    <x v="71"/>
    <d v="2024-08-03T00:00:00"/>
  </r>
  <r>
    <n v="43021"/>
    <s v="SV938"/>
    <x v="37"/>
    <n v="753.12"/>
    <n v="37"/>
    <n v="27865.439999999999"/>
    <x v="72"/>
    <d v="2023-06-30T00:00:00"/>
  </r>
  <r>
    <n v="41471"/>
    <s v="CB356"/>
    <x v="41"/>
    <n v="158.66999999999999"/>
    <n v="43"/>
    <n v="6822.81"/>
    <x v="73"/>
    <d v="2024-07-03T00:00:00"/>
  </r>
  <r>
    <n v="32665"/>
    <s v="FL553"/>
    <x v="41"/>
    <n v="158.66999999999999"/>
    <n v="8"/>
    <n v="1269.3599999999999"/>
    <x v="74"/>
    <d v="2024-03-04T00:00:00"/>
  </r>
  <r>
    <n v="74747"/>
    <s v="HN871"/>
    <x v="26"/>
    <n v="730.09"/>
    <n v="30"/>
    <n v="21902.7"/>
    <x v="75"/>
    <d v="2024-08-24T00:00:00"/>
  </r>
  <r>
    <n v="23707"/>
    <s v="HL575"/>
    <x v="13"/>
    <n v="110.41"/>
    <n v="17"/>
    <n v="1876.97"/>
    <x v="76"/>
    <d v="2024-08-19T00:00:00"/>
  </r>
  <r>
    <n v="63963"/>
    <s v="CB356"/>
    <x v="36"/>
    <n v="796.51"/>
    <n v="15"/>
    <n v="11947.65"/>
    <x v="77"/>
    <d v="2024-02-19T00:00:00"/>
  </r>
  <r>
    <n v="22078"/>
    <s v="GB310"/>
    <x v="7"/>
    <n v="101.12"/>
    <n v="7"/>
    <n v="707.84"/>
    <x v="78"/>
    <d v="2023-03-05T00:00:00"/>
  </r>
  <r>
    <n v="19200"/>
    <s v="BZ515"/>
    <x v="12"/>
    <n v="875.47"/>
    <n v="3"/>
    <n v="2626.41"/>
    <x v="22"/>
    <d v="2024-08-14T00:00:00"/>
  </r>
  <r>
    <n v="48448"/>
    <s v="BZ515"/>
    <x v="42"/>
    <n v="430.1"/>
    <n v="10"/>
    <n v="4301"/>
    <x v="79"/>
    <d v="2023-04-06T00:00:00"/>
  </r>
  <r>
    <n v="47525"/>
    <s v="BZ515"/>
    <x v="9"/>
    <n v="796.94"/>
    <n v="17"/>
    <n v="13547.98"/>
    <x v="66"/>
    <d v="2024-02-06T00:00:00"/>
  </r>
  <r>
    <n v="55618"/>
    <s v="FL553"/>
    <x v="37"/>
    <n v="753.12"/>
    <n v="19"/>
    <n v="14309.28"/>
    <x v="80"/>
    <d v="2024-09-07T00:00:00"/>
  </r>
  <r>
    <n v="90685"/>
    <s v="GB310"/>
    <x v="22"/>
    <n v="468.95"/>
    <n v="32"/>
    <n v="15006.4"/>
    <x v="81"/>
    <d v="2023-05-09T00:00:00"/>
  </r>
  <r>
    <n v="46153"/>
    <s v="OS572"/>
    <x v="29"/>
    <n v="404.9"/>
    <n v="45"/>
    <n v="18220.5"/>
    <x v="82"/>
    <d v="2023-12-20T00:00:00"/>
  </r>
  <r>
    <n v="63352"/>
    <s v="OS572"/>
    <x v="26"/>
    <n v="730.09"/>
    <n v="44"/>
    <n v="32123.96"/>
    <x v="83"/>
    <d v="2024-11-14T00:00:00"/>
  </r>
  <r>
    <n v="58526"/>
    <s v="MT731"/>
    <x v="17"/>
    <n v="366.3"/>
    <n v="40"/>
    <n v="14652"/>
    <x v="84"/>
    <d v="2024-01-29T00:00:00"/>
  </r>
  <r>
    <n v="46007"/>
    <s v="MT731"/>
    <x v="1"/>
    <n v="683.98"/>
    <n v="19"/>
    <n v="12995.62"/>
    <x v="85"/>
    <d v="2024-10-31T00:00:00"/>
  </r>
  <r>
    <n v="79070"/>
    <s v="WD343"/>
    <x v="41"/>
    <n v="158.66999999999999"/>
    <n v="9"/>
    <n v="1428.03"/>
    <x v="86"/>
    <d v="2023-06-06T00:00:00"/>
  </r>
  <r>
    <n v="60220"/>
    <s v="RR354"/>
    <x v="17"/>
    <n v="366.3"/>
    <n v="6"/>
    <n v="2197.8000000000002"/>
    <x v="87"/>
    <d v="2023-10-12T00:00:00"/>
  </r>
  <r>
    <n v="77567"/>
    <s v="RR309"/>
    <x v="43"/>
    <n v="870.6"/>
    <n v="26"/>
    <n v="22635.599999999999"/>
    <x v="88"/>
    <d v="2023-08-05T00:00:00"/>
  </r>
  <r>
    <n v="43543"/>
    <s v="MS200"/>
    <x v="34"/>
    <n v="474.55"/>
    <n v="49"/>
    <n v="23252.95"/>
    <x v="89"/>
    <d v="2024-03-28T00:00:00"/>
  </r>
  <r>
    <n v="67179"/>
    <s v="PL284"/>
    <x v="33"/>
    <n v="705.68"/>
    <n v="5"/>
    <n v="3528.4"/>
    <x v="90"/>
    <d v="2023-10-06T00:00:00"/>
  </r>
  <r>
    <n v="78842"/>
    <s v="HG412"/>
    <x v="44"/>
    <n v="913.18"/>
    <n v="27"/>
    <n v="24655.86"/>
    <x v="91"/>
    <d v="2024-11-13T00:00:00"/>
  </r>
  <r>
    <n v="38213"/>
    <s v="GH786"/>
    <x v="32"/>
    <n v="184.57"/>
    <n v="19"/>
    <n v="3506.83"/>
    <x v="92"/>
    <d v="2024-01-31T00:00:00"/>
  </r>
  <r>
    <n v="14696"/>
    <s v="MT731"/>
    <x v="5"/>
    <n v="622.16"/>
    <n v="28"/>
    <n v="17420.48"/>
    <x v="93"/>
    <d v="2024-06-26T00:00:00"/>
  </r>
  <r>
    <n v="97834"/>
    <s v="GP381"/>
    <x v="32"/>
    <n v="184.57"/>
    <n v="10"/>
    <n v="1845.7"/>
    <x v="94"/>
    <d v="2024-08-16T00:00:00"/>
  </r>
  <r>
    <n v="45502"/>
    <s v="BZ515"/>
    <x v="10"/>
    <n v="233.83"/>
    <n v="6"/>
    <n v="1402.98"/>
    <x v="95"/>
    <d v="2023-10-27T00:00:00"/>
  </r>
  <r>
    <n v="39561"/>
    <s v="FL553"/>
    <x v="0"/>
    <n v="855.99"/>
    <n v="12"/>
    <n v="10271.879999999999"/>
    <x v="96"/>
    <d v="2024-02-12T00:00:00"/>
  </r>
  <r>
    <n v="92514"/>
    <s v="MS200"/>
    <x v="34"/>
    <n v="474.55"/>
    <n v="5"/>
    <n v="2372.75"/>
    <x v="97"/>
    <d v="2023-10-11T00:00:00"/>
  </r>
  <r>
    <n v="65497"/>
    <s v="CB356"/>
    <x v="8"/>
    <n v="596.97"/>
    <n v="15"/>
    <n v="8954.5499999999993"/>
    <x v="33"/>
    <d v="2024-02-16T00:00:00"/>
  </r>
  <r>
    <n v="42358"/>
    <s v="GP381"/>
    <x v="12"/>
    <n v="875.47"/>
    <n v="41"/>
    <n v="35894.269999999997"/>
    <x v="98"/>
    <d v="2024-04-19T00:00:00"/>
  </r>
  <r>
    <n v="35653"/>
    <s v="HG412"/>
    <x v="33"/>
    <n v="705.68"/>
    <n v="9"/>
    <n v="6351.12"/>
    <x v="99"/>
    <d v="2024-02-02T00:00:00"/>
  </r>
  <r>
    <n v="66632"/>
    <s v="BL462"/>
    <x v="8"/>
    <n v="596.97"/>
    <n v="25"/>
    <n v="14924.25"/>
    <x v="100"/>
    <d v="2024-09-18T00:00:00"/>
  </r>
  <r>
    <n v="56922"/>
    <s v="BZ515"/>
    <x v="23"/>
    <n v="533.15"/>
    <n v="49"/>
    <n v="26124.35"/>
    <x v="101"/>
    <d v="2024-06-04T00:00:00"/>
  </r>
  <r>
    <n v="42547"/>
    <s v="MT731"/>
    <x v="2"/>
    <n v="68.05"/>
    <n v="2"/>
    <n v="136.1"/>
    <x v="41"/>
    <d v="2023-03-07T00:00:00"/>
  </r>
  <r>
    <n v="45883"/>
    <s v="HN871"/>
    <x v="7"/>
    <n v="101.12"/>
    <n v="27"/>
    <n v="2730.24"/>
    <x v="102"/>
    <d v="2024-11-28T00:00:00"/>
  </r>
  <r>
    <n v="83528"/>
    <s v="MT731"/>
    <x v="22"/>
    <n v="468.95"/>
    <n v="4"/>
    <n v="1875.8"/>
    <x v="103"/>
    <d v="2024-06-21T00:00:00"/>
  </r>
  <r>
    <n v="82836"/>
    <s v="HL575"/>
    <x v="13"/>
    <n v="110.41"/>
    <n v="1"/>
    <n v="110.41"/>
    <x v="104"/>
    <d v="2023-11-27T00:00:00"/>
  </r>
  <r>
    <n v="73583"/>
    <s v="BL462"/>
    <x v="2"/>
    <n v="68.05"/>
    <n v="6"/>
    <n v="408.3"/>
    <x v="105"/>
    <d v="2023-10-08T00:00:00"/>
  </r>
  <r>
    <n v="83314"/>
    <s v="WI591"/>
    <x v="14"/>
    <n v="112.52"/>
    <n v="18"/>
    <n v="2025.36"/>
    <x v="106"/>
    <d v="2023-01-21T00:00:00"/>
  </r>
  <r>
    <n v="43955"/>
    <s v="MS200"/>
    <x v="6"/>
    <n v="222.47"/>
    <n v="1"/>
    <n v="222.47"/>
    <x v="107"/>
    <d v="2023-05-29T00:00:00"/>
  </r>
  <r>
    <n v="96803"/>
    <s v="BL462"/>
    <x v="26"/>
    <n v="730.09"/>
    <n v="40"/>
    <n v="29203.599999999999"/>
    <x v="108"/>
    <d v="2024-05-25T00:00:00"/>
  </r>
  <r>
    <n v="70090"/>
    <s v="CB356"/>
    <x v="18"/>
    <n v="617.33000000000004"/>
    <n v="21"/>
    <n v="12963.93"/>
    <x v="109"/>
    <d v="2023-11-26T00:00:00"/>
  </r>
  <r>
    <n v="95005"/>
    <s v="BL462"/>
    <x v="24"/>
    <n v="323.73"/>
    <n v="10"/>
    <n v="3237.3"/>
    <x v="110"/>
    <d v="2023-07-10T00:00:00"/>
  </r>
  <r>
    <n v="72407"/>
    <s v="HL575"/>
    <x v="22"/>
    <n v="468.95"/>
    <n v="1"/>
    <n v="468.95"/>
    <x v="111"/>
    <d v="2023-07-25T00:00:00"/>
  </r>
  <r>
    <n v="35913"/>
    <s v="RR309"/>
    <x v="11"/>
    <n v="988.47"/>
    <n v="3"/>
    <n v="2965.41"/>
    <x v="112"/>
    <d v="2023-12-25T00:00:00"/>
  </r>
  <r>
    <n v="36963"/>
    <s v="SL727"/>
    <x v="45"/>
    <n v="890.84"/>
    <n v="46"/>
    <n v="40978.639999999999"/>
    <x v="113"/>
    <d v="2023-08-19T00:00:00"/>
  </r>
  <r>
    <n v="53212"/>
    <s v="OS572"/>
    <x v="18"/>
    <n v="617.33000000000004"/>
    <n v="17"/>
    <n v="10494.61"/>
    <x v="114"/>
    <d v="2023-03-28T00:00:00"/>
  </r>
  <r>
    <n v="93151"/>
    <s v="FL553"/>
    <x v="4"/>
    <n v="546.64"/>
    <n v="2"/>
    <n v="1093.28"/>
    <x v="115"/>
    <d v="2024-07-03T00:00:00"/>
  </r>
  <r>
    <n v="95753"/>
    <s v="MS200"/>
    <x v="27"/>
    <n v="399.32"/>
    <n v="49"/>
    <n v="19566.68"/>
    <x v="116"/>
    <d v="2024-11-23T00:00:00"/>
  </r>
  <r>
    <n v="91338"/>
    <s v="PL284"/>
    <x v="35"/>
    <n v="611.66"/>
    <n v="15"/>
    <n v="9174.9"/>
    <x v="16"/>
    <d v="2023-11-14T00:00:00"/>
  </r>
  <r>
    <n v="72244"/>
    <s v="HN871"/>
    <x v="40"/>
    <n v="795.19"/>
    <n v="31"/>
    <n v="24650.89"/>
    <x v="117"/>
    <d v="2023-08-12T00:00:00"/>
  </r>
  <r>
    <n v="70672"/>
    <s v="HG412"/>
    <x v="46"/>
    <n v="346.4"/>
    <n v="23"/>
    <n v="7967.2"/>
    <x v="118"/>
    <d v="2024-12-22T00:00:00"/>
  </r>
  <r>
    <n v="73012"/>
    <s v="HN871"/>
    <x v="6"/>
    <n v="222.47"/>
    <n v="33"/>
    <n v="7341.51"/>
    <x v="108"/>
    <d v="2024-05-13T00:00:00"/>
  </r>
  <r>
    <n v="35571"/>
    <s v="RR309"/>
    <x v="39"/>
    <n v="402.36"/>
    <n v="6"/>
    <n v="2414.16"/>
    <x v="119"/>
    <d v="2023-06-16T00:00:00"/>
  </r>
  <r>
    <n v="58827"/>
    <s v="GP381"/>
    <x v="21"/>
    <n v="534.77"/>
    <n v="30"/>
    <n v="16043.1"/>
    <x v="120"/>
    <d v="2023-12-25T00:00:00"/>
  </r>
  <r>
    <n v="53486"/>
    <s v="GP381"/>
    <x v="33"/>
    <n v="705.68"/>
    <n v="32"/>
    <n v="22581.759999999998"/>
    <x v="14"/>
    <d v="2023-11-24T00:00:00"/>
  </r>
  <r>
    <n v="57394"/>
    <s v="RR354"/>
    <x v="47"/>
    <n v="325"/>
    <n v="15"/>
    <n v="4875"/>
    <x v="121"/>
    <d v="2023-03-23T00:00:00"/>
  </r>
  <r>
    <n v="51067"/>
    <s v="FL553"/>
    <x v="48"/>
    <n v="95.12"/>
    <n v="4"/>
    <n v="380.48"/>
    <x v="122"/>
    <d v="2024-07-26T00:00:00"/>
  </r>
  <r>
    <n v="91982"/>
    <s v="WI591"/>
    <x v="38"/>
    <n v="45.72"/>
    <n v="36"/>
    <n v="1645.92"/>
    <x v="123"/>
    <d v="2024-05-10T00:00:00"/>
  </r>
  <r>
    <n v="32186"/>
    <s v="WI591"/>
    <x v="30"/>
    <n v="988.73"/>
    <n v="21"/>
    <n v="20763.330000000002"/>
    <x v="124"/>
    <d v="2023-09-14T00:00:00"/>
  </r>
  <r>
    <n v="53849"/>
    <s v="PL284"/>
    <x v="20"/>
    <n v="93.68"/>
    <n v="34"/>
    <n v="3185.12"/>
    <x v="125"/>
    <d v="2024-10-14T00:00:00"/>
  </r>
  <r>
    <n v="91311"/>
    <s v="OS572"/>
    <x v="28"/>
    <n v="641.34"/>
    <n v="21"/>
    <n v="13468.14"/>
    <x v="126"/>
    <d v="2023-11-05T00:00:00"/>
  </r>
  <r>
    <n v="61310"/>
    <s v="WD343"/>
    <x v="19"/>
    <n v="682.74"/>
    <n v="4"/>
    <n v="2730.96"/>
    <x v="127"/>
    <d v="2024-12-15T00:00:00"/>
  </r>
  <r>
    <n v="89611"/>
    <s v="BZ515"/>
    <x v="7"/>
    <n v="101.12"/>
    <n v="35"/>
    <n v="3539.2"/>
    <x v="128"/>
    <d v="2024-05-20T00:00:00"/>
  </r>
  <r>
    <n v="98396"/>
    <s v="MS200"/>
    <x v="4"/>
    <n v="546.64"/>
    <n v="21"/>
    <n v="11479.44"/>
    <x v="129"/>
    <d v="2023-04-20T00:00:00"/>
  </r>
  <r>
    <n v="10812"/>
    <s v="MS200"/>
    <x v="44"/>
    <n v="913.18"/>
    <n v="39"/>
    <n v="35614.019999999997"/>
    <x v="130"/>
    <d v="2023-04-16T00:00:00"/>
  </r>
  <r>
    <n v="17038"/>
    <s v="RR309"/>
    <x v="29"/>
    <n v="404.9"/>
    <n v="49"/>
    <n v="19840.099999999999"/>
    <x v="108"/>
    <d v="2023-02-02T00:00:00"/>
  </r>
  <r>
    <n v="54632"/>
    <s v="WI591"/>
    <x v="24"/>
    <n v="323.73"/>
    <n v="43"/>
    <n v="13920.39"/>
    <x v="131"/>
    <d v="2024-10-15T00:00:00"/>
  </r>
  <r>
    <n v="84229"/>
    <s v="MT731"/>
    <x v="41"/>
    <n v="158.66999999999999"/>
    <n v="35"/>
    <n v="5553.45"/>
    <x v="132"/>
    <d v="2024-02-06T00:00:00"/>
  </r>
  <r>
    <n v="57641"/>
    <s v="OS572"/>
    <x v="12"/>
    <n v="875.47"/>
    <n v="7"/>
    <n v="6128.29"/>
    <x v="133"/>
    <d v="2024-02-11T00:00:00"/>
  </r>
  <r>
    <n v="35473"/>
    <s v="HN871"/>
    <x v="0"/>
    <n v="855.99"/>
    <n v="44"/>
    <n v="37663.56"/>
    <x v="134"/>
    <d v="2024-12-16T00:00:00"/>
  </r>
  <r>
    <n v="71042"/>
    <s v="GB310"/>
    <x v="22"/>
    <n v="468.95"/>
    <n v="1"/>
    <n v="468.95"/>
    <x v="135"/>
    <d v="2023-04-24T00:00:00"/>
  </r>
  <r>
    <n v="37073"/>
    <s v="GB310"/>
    <x v="13"/>
    <n v="110.41"/>
    <n v="38"/>
    <n v="4195.58"/>
    <x v="136"/>
    <d v="2023-04-05T00:00:00"/>
  </r>
  <r>
    <n v="97471"/>
    <s v="HG412"/>
    <x v="22"/>
    <n v="468.95"/>
    <n v="39"/>
    <n v="18289.05"/>
    <x v="137"/>
    <d v="2023-06-08T00:00:00"/>
  </r>
  <r>
    <n v="31687"/>
    <s v="GP381"/>
    <x v="14"/>
    <n v="112.52"/>
    <n v="33"/>
    <n v="3713.16"/>
    <x v="138"/>
    <d v="2023-03-05T00:00:00"/>
  </r>
  <r>
    <n v="59850"/>
    <s v="GH786"/>
    <x v="44"/>
    <n v="913.18"/>
    <n v="17"/>
    <n v="15524.06"/>
    <x v="139"/>
    <d v="2024-09-27T00:00:00"/>
  </r>
  <r>
    <n v="40430"/>
    <s v="GP381"/>
    <x v="31"/>
    <n v="346.37"/>
    <n v="8"/>
    <n v="2770.96"/>
    <x v="140"/>
    <d v="2023-10-27T00:00:00"/>
  </r>
  <r>
    <n v="91701"/>
    <s v="HL575"/>
    <x v="47"/>
    <n v="325"/>
    <n v="48"/>
    <n v="15600"/>
    <x v="141"/>
    <d v="2024-10-20T00:00:00"/>
  </r>
  <r>
    <n v="67414"/>
    <s v="RR354"/>
    <x v="29"/>
    <n v="404.9"/>
    <n v="38"/>
    <n v="15386.2"/>
    <x v="63"/>
    <d v="2024-10-25T00:00:00"/>
  </r>
  <r>
    <n v="71928"/>
    <s v="RR309"/>
    <x v="20"/>
    <n v="93.68"/>
    <n v="29"/>
    <n v="2716.72"/>
    <x v="87"/>
    <d v="2024-08-29T00:00:00"/>
  </r>
  <r>
    <n v="92965"/>
    <s v="SV938"/>
    <x v="30"/>
    <n v="988.73"/>
    <n v="23"/>
    <n v="22740.79"/>
    <x v="142"/>
    <d v="2023-08-25T00:00:00"/>
  </r>
  <r>
    <n v="75037"/>
    <s v="HN871"/>
    <x v="48"/>
    <n v="95.12"/>
    <n v="25"/>
    <n v="2378"/>
    <x v="15"/>
    <d v="2024-02-26T00:00:00"/>
  </r>
  <r>
    <n v="25512"/>
    <s v="WD343"/>
    <x v="0"/>
    <n v="855.99"/>
    <n v="12"/>
    <n v="10271.879999999999"/>
    <x v="111"/>
    <d v="2024-10-02T00:00:00"/>
  </r>
  <r>
    <n v="88898"/>
    <s v="MT731"/>
    <x v="0"/>
    <n v="855.99"/>
    <n v="34"/>
    <n v="29103.66"/>
    <x v="143"/>
    <d v="2023-12-16T00:00:00"/>
  </r>
  <r>
    <n v="23933"/>
    <s v="SL727"/>
    <x v="7"/>
    <n v="101.12"/>
    <n v="38"/>
    <n v="3842.56"/>
    <x v="72"/>
    <d v="2024-08-10T00:00:00"/>
  </r>
  <r>
    <n v="36511"/>
    <s v="HL575"/>
    <x v="26"/>
    <n v="730.09"/>
    <n v="45"/>
    <n v="32854.050000000003"/>
    <x v="144"/>
    <d v="2024-09-14T00:00:00"/>
  </r>
  <r>
    <n v="92862"/>
    <s v="GH786"/>
    <x v="43"/>
    <n v="870.6"/>
    <n v="29"/>
    <n v="25247.4"/>
    <x v="145"/>
    <d v="2023-09-22T00:00:00"/>
  </r>
  <r>
    <n v="16532"/>
    <s v="BL462"/>
    <x v="46"/>
    <n v="346.4"/>
    <n v="14"/>
    <n v="4849.6000000000004"/>
    <x v="146"/>
    <d v="2023-07-10T00:00:00"/>
  </r>
  <r>
    <n v="49391"/>
    <s v="RR354"/>
    <x v="24"/>
    <n v="323.73"/>
    <n v="46"/>
    <n v="14891.58"/>
    <x v="147"/>
    <d v="2023-11-11T00:00:00"/>
  </r>
  <r>
    <n v="95235"/>
    <s v="WI591"/>
    <x v="23"/>
    <n v="533.15"/>
    <n v="49"/>
    <n v="26124.35"/>
    <x v="148"/>
    <d v="2024-09-08T00:00:00"/>
  </r>
  <r>
    <n v="57067"/>
    <s v="MS200"/>
    <x v="4"/>
    <n v="546.64"/>
    <n v="41"/>
    <n v="22412.240000000002"/>
    <x v="149"/>
    <d v="2023-12-03T00:00:00"/>
  </r>
  <r>
    <n v="53526"/>
    <s v="MS200"/>
    <x v="25"/>
    <n v="972.24"/>
    <n v="40"/>
    <n v="38889.599999999999"/>
    <x v="150"/>
    <d v="2023-10-27T00:00:00"/>
  </r>
  <r>
    <n v="24299"/>
    <s v="CB356"/>
    <x v="19"/>
    <n v="682.74"/>
    <n v="1"/>
    <n v="682.74"/>
    <x v="41"/>
    <d v="2023-04-24T00:00:00"/>
  </r>
  <r>
    <n v="28287"/>
    <s v="MT731"/>
    <x v="40"/>
    <n v="795.19"/>
    <n v="24"/>
    <n v="19084.560000000001"/>
    <x v="151"/>
    <d v="2023-08-04T00:00:00"/>
  </r>
  <r>
    <n v="57560"/>
    <s v="HG412"/>
    <x v="37"/>
    <n v="753.12"/>
    <n v="15"/>
    <n v="11296.8"/>
    <x v="152"/>
    <d v="2024-06-11T00:00:00"/>
  </r>
  <r>
    <n v="37681"/>
    <s v="RR309"/>
    <x v="27"/>
    <n v="399.32"/>
    <n v="8"/>
    <n v="3194.56"/>
    <x v="153"/>
    <d v="2023-07-13T00:00:00"/>
  </r>
  <r>
    <n v="32244"/>
    <s v="FL553"/>
    <x v="2"/>
    <n v="68.05"/>
    <n v="6"/>
    <n v="408.3"/>
    <x v="154"/>
    <d v="2024-10-26T00:00:00"/>
  </r>
  <r>
    <n v="23259"/>
    <s v="SL727"/>
    <x v="44"/>
    <n v="913.18"/>
    <n v="23"/>
    <n v="21003.14"/>
    <x v="155"/>
    <d v="2024-11-18T00:00:00"/>
  </r>
  <r>
    <n v="72318"/>
    <s v="HL575"/>
    <x v="24"/>
    <n v="323.73"/>
    <n v="45"/>
    <n v="14567.85"/>
    <x v="123"/>
    <d v="2024-07-12T00:00:00"/>
  </r>
  <r>
    <n v="67901"/>
    <s v="FL553"/>
    <x v="10"/>
    <n v="233.83"/>
    <n v="20"/>
    <n v="4676.6000000000004"/>
    <x v="156"/>
    <d v="2023-08-08T00:00:00"/>
  </r>
  <r>
    <n v="33641"/>
    <s v="BZ515"/>
    <x v="7"/>
    <n v="101.12"/>
    <n v="6"/>
    <n v="606.72"/>
    <x v="157"/>
    <d v="2023-07-23T00:00:00"/>
  </r>
  <r>
    <n v="87656"/>
    <s v="HN871"/>
    <x v="7"/>
    <n v="101.12"/>
    <n v="11"/>
    <n v="1112.32"/>
    <x v="158"/>
    <d v="2024-10-20T00:00:00"/>
  </r>
  <r>
    <n v="43748"/>
    <s v="SV938"/>
    <x v="6"/>
    <n v="222.47"/>
    <n v="15"/>
    <n v="3337.05"/>
    <x v="159"/>
    <d v="2024-11-04T00:00:00"/>
  </r>
  <r>
    <n v="30885"/>
    <s v="FL553"/>
    <x v="12"/>
    <n v="875.47"/>
    <n v="20"/>
    <n v="17509.400000000001"/>
    <x v="160"/>
    <d v="2024-05-31T00:00:00"/>
  </r>
  <r>
    <n v="74935"/>
    <s v="HN871"/>
    <x v="14"/>
    <n v="112.52"/>
    <n v="9"/>
    <n v="1012.68"/>
    <x v="161"/>
    <d v="2023-09-14T00:00:00"/>
  </r>
  <r>
    <n v="72669"/>
    <s v="FL553"/>
    <x v="2"/>
    <n v="68.05"/>
    <n v="5"/>
    <n v="340.25"/>
    <x v="162"/>
    <d v="2023-05-12T00:00:00"/>
  </r>
  <r>
    <n v="71747"/>
    <s v="RR354"/>
    <x v="18"/>
    <n v="617.33000000000004"/>
    <n v="42"/>
    <n v="25927.86"/>
    <x v="163"/>
    <d v="2024-11-24T00:00:00"/>
  </r>
  <r>
    <n v="42048"/>
    <s v="OS572"/>
    <x v="49"/>
    <n v="761.92"/>
    <n v="26"/>
    <n v="19809.919999999998"/>
    <x v="164"/>
    <d v="2024-09-20T00:00:00"/>
  </r>
  <r>
    <n v="21885"/>
    <s v="FL553"/>
    <x v="6"/>
    <n v="222.47"/>
    <n v="11"/>
    <n v="2447.17"/>
    <x v="165"/>
    <d v="2023-06-26T00:00:00"/>
  </r>
  <r>
    <n v="12575"/>
    <s v="HN871"/>
    <x v="17"/>
    <n v="366.3"/>
    <n v="4"/>
    <n v="1465.2"/>
    <x v="166"/>
    <d v="2023-03-19T00:00:00"/>
  </r>
  <r>
    <n v="17628"/>
    <s v="HL575"/>
    <x v="48"/>
    <n v="95.12"/>
    <n v="9"/>
    <n v="856.08"/>
    <x v="167"/>
    <d v="2024-09-17T00:00:00"/>
  </r>
  <r>
    <n v="86919"/>
    <s v="BZ515"/>
    <x v="16"/>
    <n v="654.4"/>
    <n v="6"/>
    <n v="3926.4"/>
    <x v="168"/>
    <d v="2023-09-05T00:00:00"/>
  </r>
  <r>
    <n v="40648"/>
    <s v="SV938"/>
    <x v="41"/>
    <n v="158.66999999999999"/>
    <n v="30"/>
    <n v="4760.1000000000004"/>
    <x v="169"/>
    <d v="2023-12-29T00:00:00"/>
  </r>
  <r>
    <n v="17587"/>
    <s v="OS572"/>
    <x v="15"/>
    <n v="608.37"/>
    <n v="13"/>
    <n v="7908.81"/>
    <x v="170"/>
    <d v="2023-03-28T00:00:00"/>
  </r>
  <r>
    <n v="34685"/>
    <s v="PL284"/>
    <x v="39"/>
    <n v="402.36"/>
    <n v="32"/>
    <n v="12875.52"/>
    <x v="5"/>
    <d v="2023-09-12T00:00:00"/>
  </r>
  <r>
    <n v="78884"/>
    <s v="BZ515"/>
    <x v="45"/>
    <n v="890.84"/>
    <n v="33"/>
    <n v="29397.72"/>
    <x v="72"/>
    <d v="2023-10-16T00:00:00"/>
  </r>
  <r>
    <n v="67827"/>
    <s v="GB310"/>
    <x v="4"/>
    <n v="546.64"/>
    <n v="30"/>
    <n v="16399.2"/>
    <x v="171"/>
    <d v="2024-07-13T00:00:00"/>
  </r>
  <r>
    <n v="90437"/>
    <s v="GP381"/>
    <x v="30"/>
    <n v="988.73"/>
    <n v="26"/>
    <n v="25706.98"/>
    <x v="172"/>
    <d v="2023-05-02T00:00:00"/>
  </r>
  <r>
    <n v="25426"/>
    <s v="WI591"/>
    <x v="10"/>
    <n v="233.83"/>
    <n v="35"/>
    <n v="8184.05"/>
    <x v="173"/>
    <d v="2024-05-15T00:00:00"/>
  </r>
  <r>
    <n v="74088"/>
    <s v="HG412"/>
    <x v="18"/>
    <n v="617.33000000000004"/>
    <n v="47"/>
    <n v="29014.51"/>
    <x v="174"/>
    <d v="2024-12-08T00:00:00"/>
  </r>
  <r>
    <n v="70680"/>
    <s v="PL284"/>
    <x v="43"/>
    <n v="870.6"/>
    <n v="44"/>
    <n v="38306.400000000001"/>
    <x v="175"/>
    <d v="2023-12-12T00:00:00"/>
  </r>
  <r>
    <n v="26058"/>
    <s v="PL284"/>
    <x v="36"/>
    <n v="796.51"/>
    <n v="38"/>
    <n v="30267.38"/>
    <x v="176"/>
    <d v="2024-08-24T00:00:00"/>
  </r>
  <r>
    <n v="37755"/>
    <s v="MS200"/>
    <x v="13"/>
    <n v="110.41"/>
    <n v="48"/>
    <n v="5299.68"/>
    <x v="32"/>
    <d v="2024-05-09T00:00:00"/>
  </r>
  <r>
    <n v="47420"/>
    <s v="BZ515"/>
    <x v="16"/>
    <n v="654.4"/>
    <n v="49"/>
    <n v="32065.599999999999"/>
    <x v="9"/>
    <d v="2024-10-11T00:00:00"/>
  </r>
  <r>
    <n v="10721"/>
    <s v="WD343"/>
    <x v="33"/>
    <n v="705.68"/>
    <n v="13"/>
    <n v="9173.84"/>
    <x v="177"/>
    <d v="2024-08-11T00:00:00"/>
  </r>
  <r>
    <n v="30177"/>
    <s v="SL727"/>
    <x v="39"/>
    <n v="402.36"/>
    <n v="15"/>
    <n v="6035.4"/>
    <x v="178"/>
    <d v="2023-04-05T00:00:00"/>
  </r>
  <r>
    <n v="90314"/>
    <s v="CB356"/>
    <x v="18"/>
    <n v="617.33000000000004"/>
    <n v="23"/>
    <n v="14198.59"/>
    <x v="179"/>
    <d v="2023-01-21T00:00:00"/>
  </r>
  <r>
    <n v="99113"/>
    <s v="HN871"/>
    <x v="42"/>
    <n v="430.1"/>
    <n v="37"/>
    <n v="15913.7"/>
    <x v="180"/>
    <d v="2024-08-17T00:00:00"/>
  </r>
  <r>
    <n v="69340"/>
    <s v="OS572"/>
    <x v="44"/>
    <n v="913.18"/>
    <n v="4"/>
    <n v="3652.72"/>
    <x v="181"/>
    <d v="2023-09-28T00:00:00"/>
  </r>
  <r>
    <n v="62410"/>
    <s v="PL284"/>
    <x v="29"/>
    <n v="404.9"/>
    <n v="34"/>
    <n v="13766.6"/>
    <x v="146"/>
    <d v="2023-04-07T00:00:00"/>
  </r>
  <r>
    <n v="35666"/>
    <s v="RR309"/>
    <x v="48"/>
    <n v="95.12"/>
    <n v="48"/>
    <n v="4565.76"/>
    <x v="182"/>
    <d v="2024-04-25T00:00:00"/>
  </r>
  <r>
    <n v="68976"/>
    <s v="BL462"/>
    <x v="45"/>
    <n v="890.84"/>
    <n v="33"/>
    <n v="29397.72"/>
    <x v="183"/>
    <d v="2024-01-22T00:00:00"/>
  </r>
  <r>
    <n v="75236"/>
    <s v="BL462"/>
    <x v="18"/>
    <n v="617.33000000000004"/>
    <n v="7"/>
    <n v="4321.3100000000004"/>
    <x v="184"/>
    <d v="2023-07-08T00:00:00"/>
  </r>
  <r>
    <n v="52110"/>
    <s v="CB356"/>
    <x v="22"/>
    <n v="468.95"/>
    <n v="3"/>
    <n v="1406.85"/>
    <x v="185"/>
    <d v="2023-03-25T00:00:00"/>
  </r>
  <r>
    <n v="33083"/>
    <s v="OS572"/>
    <x v="40"/>
    <n v="795.19"/>
    <n v="44"/>
    <n v="34988.36"/>
    <x v="186"/>
    <d v="2023-04-01T00:00:00"/>
  </r>
  <r>
    <n v="89713"/>
    <s v="MS200"/>
    <x v="30"/>
    <n v="988.73"/>
    <n v="29"/>
    <n v="28673.17"/>
    <x v="187"/>
    <d v="2024-07-09T00:00:00"/>
  </r>
  <r>
    <n v="84405"/>
    <s v="RR309"/>
    <x v="0"/>
    <n v="855.99"/>
    <n v="42"/>
    <n v="35951.58"/>
    <x v="188"/>
    <d v="2024-02-18T00:00:00"/>
  </r>
  <r>
    <n v="36499"/>
    <s v="GB310"/>
    <x v="41"/>
    <n v="158.66999999999999"/>
    <n v="41"/>
    <n v="6505.47"/>
    <x v="189"/>
    <d v="2024-01-30T00:00:00"/>
  </r>
  <r>
    <n v="68552"/>
    <s v="SL727"/>
    <x v="8"/>
    <n v="596.97"/>
    <n v="37"/>
    <n v="22087.89"/>
    <x v="139"/>
    <d v="2024-06-23T00:00:00"/>
  </r>
  <r>
    <n v="94922"/>
    <s v="GH786"/>
    <x v="8"/>
    <n v="596.97"/>
    <n v="12"/>
    <n v="7163.64"/>
    <x v="190"/>
    <d v="2023-08-12T00:00:00"/>
  </r>
  <r>
    <n v="11629"/>
    <s v="HG412"/>
    <x v="49"/>
    <n v="761.92"/>
    <n v="32"/>
    <n v="24381.439999999999"/>
    <x v="191"/>
    <d v="2023-05-07T00:00:00"/>
  </r>
  <r>
    <n v="37968"/>
    <s v="MS200"/>
    <x v="5"/>
    <n v="622.16"/>
    <n v="7"/>
    <n v="4355.12"/>
    <x v="192"/>
    <d v="2024-07-16T00:00:00"/>
  </r>
  <r>
    <n v="89999"/>
    <s v="HL575"/>
    <x v="11"/>
    <n v="988.47"/>
    <n v="36"/>
    <n v="35584.92"/>
    <x v="193"/>
    <d v="2023-09-06T00:00:00"/>
  </r>
  <r>
    <n v="19036"/>
    <s v="MS200"/>
    <x v="21"/>
    <n v="534.77"/>
    <n v="4"/>
    <n v="2139.08"/>
    <x v="194"/>
    <d v="2024-03-04T00:00:00"/>
  </r>
  <r>
    <n v="72336"/>
    <s v="GP381"/>
    <x v="6"/>
    <n v="222.47"/>
    <n v="9"/>
    <n v="2002.23"/>
    <x v="195"/>
    <d v="2024-11-08T00:00:00"/>
  </r>
  <r>
    <n v="56056"/>
    <s v="MT731"/>
    <x v="27"/>
    <n v="399.32"/>
    <n v="21"/>
    <n v="8385.7199999999993"/>
    <x v="196"/>
    <d v="2024-05-14T00:00:00"/>
  </r>
  <r>
    <n v="71004"/>
    <s v="GP381"/>
    <x v="30"/>
    <n v="988.73"/>
    <n v="1"/>
    <n v="988.73"/>
    <x v="197"/>
    <d v="2023-12-24T00:00:00"/>
  </r>
  <r>
    <n v="43835"/>
    <s v="FL553"/>
    <x v="43"/>
    <n v="870.6"/>
    <n v="14"/>
    <n v="12188.4"/>
    <x v="10"/>
    <d v="2023-05-28T00:00:00"/>
  </r>
  <r>
    <n v="99997"/>
    <s v="HG412"/>
    <x v="43"/>
    <n v="870.6"/>
    <n v="18"/>
    <n v="15670.8"/>
    <x v="198"/>
    <d v="2024-06-23T00:00:00"/>
  </r>
  <r>
    <n v="18253"/>
    <s v="GH786"/>
    <x v="22"/>
    <n v="468.95"/>
    <n v="43"/>
    <n v="20164.849999999999"/>
    <x v="199"/>
    <d v="2023-05-12T00:00:00"/>
  </r>
  <r>
    <n v="11475"/>
    <s v="BZ515"/>
    <x v="43"/>
    <n v="870.6"/>
    <n v="16"/>
    <n v="13929.6"/>
    <x v="65"/>
    <d v="2023-04-20T00:00:00"/>
  </r>
  <r>
    <n v="27871"/>
    <s v="MT731"/>
    <x v="0"/>
    <n v="855.99"/>
    <n v="2"/>
    <n v="1711.98"/>
    <x v="200"/>
    <d v="2023-12-20T00:00:00"/>
  </r>
  <r>
    <n v="95984"/>
    <s v="GH786"/>
    <x v="47"/>
    <n v="325"/>
    <n v="38"/>
    <n v="12350"/>
    <x v="201"/>
    <d v="2023-10-30T00:00:00"/>
  </r>
  <r>
    <n v="44891"/>
    <s v="GP381"/>
    <x v="7"/>
    <n v="101.12"/>
    <n v="14"/>
    <n v="1415.68"/>
    <x v="202"/>
    <d v="2024-06-24T00:00:00"/>
  </r>
  <r>
    <n v="96531"/>
    <s v="WI591"/>
    <x v="32"/>
    <n v="184.57"/>
    <n v="5"/>
    <n v="922.85"/>
    <x v="203"/>
    <d v="2023-02-18T00:00:00"/>
  </r>
  <r>
    <n v="27212"/>
    <s v="GB310"/>
    <x v="35"/>
    <n v="611.66"/>
    <n v="10"/>
    <n v="6116.6"/>
    <x v="204"/>
    <d v="2023-11-28T00:00:00"/>
  </r>
  <r>
    <n v="87708"/>
    <s v="FL553"/>
    <x v="17"/>
    <n v="366.3"/>
    <n v="32"/>
    <n v="11721.6"/>
    <x v="205"/>
    <d v="2023-03-26T00:00:00"/>
  </r>
  <r>
    <n v="19165"/>
    <s v="MT731"/>
    <x v="12"/>
    <n v="875.47"/>
    <n v="32"/>
    <n v="28015.040000000001"/>
    <x v="185"/>
    <d v="2023-04-07T00:00:00"/>
  </r>
  <r>
    <n v="26892"/>
    <s v="CB356"/>
    <x v="20"/>
    <n v="93.68"/>
    <n v="38"/>
    <n v="3559.84"/>
    <x v="206"/>
    <d v="2024-05-13T00:00:00"/>
  </r>
  <r>
    <n v="17114"/>
    <s v="FL553"/>
    <x v="17"/>
    <n v="366.3"/>
    <n v="18"/>
    <n v="6593.4"/>
    <x v="207"/>
    <d v="2024-12-09T00:00:00"/>
  </r>
  <r>
    <n v="95125"/>
    <s v="PL284"/>
    <x v="31"/>
    <n v="346.37"/>
    <n v="41"/>
    <n v="14201.17"/>
    <x v="176"/>
    <d v="2023-05-30T00:00:00"/>
  </r>
  <r>
    <n v="78859"/>
    <s v="RR309"/>
    <x v="32"/>
    <n v="184.57"/>
    <n v="50"/>
    <n v="9228.5"/>
    <x v="208"/>
    <d v="2024-01-17T00:00:00"/>
  </r>
  <r>
    <n v="55987"/>
    <s v="HN871"/>
    <x v="42"/>
    <n v="430.1"/>
    <n v="4"/>
    <n v="1720.4"/>
    <x v="209"/>
    <d v="2023-10-13T00:00:00"/>
  </r>
  <r>
    <n v="63363"/>
    <s v="HG412"/>
    <x v="43"/>
    <n v="870.6"/>
    <n v="2"/>
    <n v="1741.2"/>
    <x v="210"/>
    <d v="2024-10-08T00:00:00"/>
  </r>
  <r>
    <n v="81606"/>
    <s v="SV938"/>
    <x v="16"/>
    <n v="654.4"/>
    <n v="7"/>
    <n v="4580.8"/>
    <x v="204"/>
    <d v="2023-04-20T00:00:00"/>
  </r>
  <r>
    <n v="64613"/>
    <s v="BL462"/>
    <x v="31"/>
    <n v="346.37"/>
    <n v="12"/>
    <n v="4156.4399999999996"/>
    <x v="211"/>
    <d v="2023-02-11T00:00:00"/>
  </r>
  <r>
    <n v="57955"/>
    <s v="GH786"/>
    <x v="43"/>
    <n v="870.6"/>
    <n v="2"/>
    <n v="1741.2"/>
    <x v="26"/>
    <d v="2024-04-29T00:00:00"/>
  </r>
  <r>
    <n v="94143"/>
    <s v="GH786"/>
    <x v="44"/>
    <n v="913.18"/>
    <n v="19"/>
    <n v="17350.419999999998"/>
    <x v="212"/>
    <d v="2023-05-08T00:00:00"/>
  </r>
  <r>
    <n v="69982"/>
    <s v="HL575"/>
    <x v="41"/>
    <n v="158.66999999999999"/>
    <n v="43"/>
    <n v="6822.81"/>
    <x v="70"/>
    <d v="2024-06-26T00:00:00"/>
  </r>
  <r>
    <n v="13847"/>
    <s v="GP381"/>
    <x v="32"/>
    <n v="184.57"/>
    <n v="6"/>
    <n v="1107.42"/>
    <x v="213"/>
    <d v="2023-08-23T00:00:00"/>
  </r>
  <r>
    <n v="83571"/>
    <s v="HL575"/>
    <x v="19"/>
    <n v="682.74"/>
    <n v="2"/>
    <n v="1365.48"/>
    <x v="214"/>
    <d v="2024-12-06T00:00:00"/>
  </r>
  <r>
    <n v="89925"/>
    <s v="MS200"/>
    <x v="41"/>
    <n v="158.66999999999999"/>
    <n v="5"/>
    <n v="793.35"/>
    <x v="215"/>
    <d v="2024-11-19T00:00:00"/>
  </r>
  <r>
    <n v="35958"/>
    <s v="PL284"/>
    <x v="10"/>
    <n v="233.83"/>
    <n v="9"/>
    <n v="2104.4699999999998"/>
    <x v="66"/>
    <d v="2023-11-19T00:00:00"/>
  </r>
  <r>
    <n v="10136"/>
    <s v="BL462"/>
    <x v="33"/>
    <n v="705.68"/>
    <n v="13"/>
    <n v="9173.84"/>
    <x v="216"/>
    <d v="2024-01-21T00:00:00"/>
  </r>
  <r>
    <n v="31853"/>
    <s v="BL462"/>
    <x v="12"/>
    <n v="875.47"/>
    <n v="25"/>
    <n v="21886.75"/>
    <x v="217"/>
    <d v="2023-07-02T00:00:00"/>
  </r>
  <r>
    <n v="75964"/>
    <s v="CB356"/>
    <x v="21"/>
    <n v="534.77"/>
    <n v="41"/>
    <n v="21925.57"/>
    <x v="154"/>
    <d v="2023-04-14T00:00:00"/>
  </r>
  <r>
    <n v="61124"/>
    <s v="MS200"/>
    <x v="46"/>
    <n v="346.4"/>
    <n v="30"/>
    <n v="10392"/>
    <x v="218"/>
    <d v="2023-07-22T00:00:00"/>
  </r>
  <r>
    <n v="65433"/>
    <s v="OS572"/>
    <x v="47"/>
    <n v="325"/>
    <n v="50"/>
    <n v="16250"/>
    <x v="219"/>
    <d v="2024-01-07T00:00:00"/>
  </r>
  <r>
    <n v="98558"/>
    <s v="GB310"/>
    <x v="1"/>
    <n v="683.98"/>
    <n v="27"/>
    <n v="18467.46"/>
    <x v="220"/>
    <d v="2024-02-22T00:00:00"/>
  </r>
  <r>
    <n v="80426"/>
    <s v="MT731"/>
    <x v="35"/>
    <n v="611.66"/>
    <n v="27"/>
    <n v="16514.82"/>
    <x v="221"/>
    <d v="2024-03-03T00:00:00"/>
  </r>
  <r>
    <n v="29425"/>
    <s v="PL284"/>
    <x v="0"/>
    <n v="855.99"/>
    <n v="47"/>
    <n v="40231.53"/>
    <x v="222"/>
    <d v="2024-11-12T00:00:00"/>
  </r>
  <r>
    <n v="95909"/>
    <s v="GP381"/>
    <x v="10"/>
    <n v="233.83"/>
    <n v="43"/>
    <n v="10054.69"/>
    <x v="223"/>
    <d v="2024-01-28T00:00:00"/>
  </r>
  <r>
    <n v="92832"/>
    <s v="WI591"/>
    <x v="24"/>
    <n v="323.73"/>
    <n v="12"/>
    <n v="3884.76"/>
    <x v="224"/>
    <d v="2023-08-05T00:00:00"/>
  </r>
  <r>
    <n v="34381"/>
    <s v="GH786"/>
    <x v="35"/>
    <n v="611.66"/>
    <n v="22"/>
    <n v="13456.52"/>
    <x v="225"/>
    <d v="2023-12-24T00:00:00"/>
  </r>
  <r>
    <n v="13161"/>
    <s v="HG412"/>
    <x v="24"/>
    <n v="323.73"/>
    <n v="8"/>
    <n v="2589.84"/>
    <x v="226"/>
    <d v="2024-11-27T00:00:00"/>
  </r>
  <r>
    <n v="53224"/>
    <s v="HN871"/>
    <x v="22"/>
    <n v="468.95"/>
    <n v="25"/>
    <n v="11723.75"/>
    <x v="227"/>
    <d v="2024-01-17T00:00:00"/>
  </r>
  <r>
    <n v="81561"/>
    <s v="WI591"/>
    <x v="11"/>
    <n v="988.47"/>
    <n v="38"/>
    <n v="37561.86"/>
    <x v="223"/>
    <d v="2024-09-13T00:00:00"/>
  </r>
  <r>
    <n v="31223"/>
    <s v="PL284"/>
    <x v="38"/>
    <n v="45.72"/>
    <n v="38"/>
    <n v="1737.36"/>
    <x v="228"/>
    <d v="2024-07-06T00:00:00"/>
  </r>
  <r>
    <n v="15574"/>
    <s v="SV938"/>
    <x v="11"/>
    <n v="988.47"/>
    <n v="50"/>
    <n v="49423.5"/>
    <x v="63"/>
    <d v="2024-11-23T00:00:00"/>
  </r>
  <r>
    <n v="86898"/>
    <s v="WI591"/>
    <x v="37"/>
    <n v="753.12"/>
    <n v="17"/>
    <n v="12803.04"/>
    <x v="163"/>
    <d v="2024-10-28T00:00:00"/>
  </r>
  <r>
    <n v="80580"/>
    <s v="HL575"/>
    <x v="38"/>
    <n v="45.72"/>
    <n v="44"/>
    <n v="2011.68"/>
    <x v="229"/>
    <d v="2024-06-07T00:00:00"/>
  </r>
  <r>
    <n v="43415"/>
    <s v="WD343"/>
    <x v="10"/>
    <n v="233.83"/>
    <n v="14"/>
    <n v="3273.62"/>
    <x v="205"/>
    <d v="2024-12-03T00:00:00"/>
  </r>
  <r>
    <n v="53225"/>
    <s v="PL284"/>
    <x v="0"/>
    <n v="855.99"/>
    <n v="37"/>
    <n v="31671.63"/>
    <x v="12"/>
    <d v="2023-12-23T00:00:00"/>
  </r>
  <r>
    <n v="16852"/>
    <s v="RR309"/>
    <x v="16"/>
    <n v="654.4"/>
    <n v="14"/>
    <n v="9161.6"/>
    <x v="44"/>
    <d v="2024-12-17T00:00:00"/>
  </r>
  <r>
    <n v="88004"/>
    <s v="CB356"/>
    <x v="41"/>
    <n v="158.66999999999999"/>
    <n v="48"/>
    <n v="7616.16"/>
    <x v="230"/>
    <d v="2024-03-17T00:00:00"/>
  </r>
  <r>
    <n v="52932"/>
    <s v="HG412"/>
    <x v="28"/>
    <n v="641.34"/>
    <n v="39"/>
    <n v="25012.26"/>
    <x v="231"/>
    <d v="2024-09-30T00:00:00"/>
  </r>
  <r>
    <n v="31048"/>
    <s v="MT731"/>
    <x v="38"/>
    <n v="45.72"/>
    <n v="8"/>
    <n v="365.76"/>
    <x v="232"/>
    <d v="2024-11-30T00:00:00"/>
  </r>
  <r>
    <n v="64420"/>
    <s v="WD343"/>
    <x v="15"/>
    <n v="608.37"/>
    <n v="24"/>
    <n v="14600.88"/>
    <x v="233"/>
    <d v="2023-04-02T00:00:00"/>
  </r>
  <r>
    <n v="58217"/>
    <s v="MS200"/>
    <x v="48"/>
    <n v="95.12"/>
    <n v="24"/>
    <n v="2282.88"/>
    <x v="142"/>
    <d v="2024-09-09T00:00:00"/>
  </r>
  <r>
    <n v="74146"/>
    <s v="MS200"/>
    <x v="28"/>
    <n v="641.34"/>
    <n v="48"/>
    <n v="30784.32"/>
    <x v="234"/>
    <d v="2024-04-07T00:00:00"/>
  </r>
  <r>
    <n v="19893"/>
    <s v="WD343"/>
    <x v="47"/>
    <n v="325"/>
    <n v="48"/>
    <n v="15600"/>
    <x v="235"/>
    <d v="2024-01-16T00:00:00"/>
  </r>
  <r>
    <n v="59167"/>
    <s v="RR354"/>
    <x v="47"/>
    <n v="325"/>
    <n v="13"/>
    <n v="4225"/>
    <x v="140"/>
    <d v="2024-10-14T00:00:00"/>
  </r>
  <r>
    <n v="54440"/>
    <s v="MT731"/>
    <x v="23"/>
    <n v="533.15"/>
    <n v="47"/>
    <n v="25058.05"/>
    <x v="236"/>
    <d v="2023-07-26T00:00:00"/>
  </r>
  <r>
    <n v="12947"/>
    <s v="GH786"/>
    <x v="34"/>
    <n v="474.55"/>
    <n v="35"/>
    <n v="16609.25"/>
    <x v="237"/>
    <d v="2023-04-08T00:00:00"/>
  </r>
  <r>
    <n v="56043"/>
    <s v="RR309"/>
    <x v="20"/>
    <n v="93.68"/>
    <n v="36"/>
    <n v="3372.48"/>
    <x v="238"/>
    <d v="2023-02-20T00:00:00"/>
  </r>
  <r>
    <n v="87385"/>
    <s v="CB356"/>
    <x v="13"/>
    <n v="110.41"/>
    <n v="1"/>
    <n v="110.41"/>
    <x v="208"/>
    <d v="2023-01-22T00:00:00"/>
  </r>
  <r>
    <n v="44005"/>
    <s v="RR309"/>
    <x v="31"/>
    <n v="346.37"/>
    <n v="38"/>
    <n v="13162.06"/>
    <x v="239"/>
    <d v="2023-04-19T00:00:00"/>
  </r>
  <r>
    <n v="37715"/>
    <s v="WD343"/>
    <x v="4"/>
    <n v="546.64"/>
    <n v="28"/>
    <n v="15305.92"/>
    <x v="240"/>
    <d v="2023-04-27T00:00:00"/>
  </r>
  <r>
    <n v="26579"/>
    <s v="HN871"/>
    <x v="14"/>
    <n v="112.52"/>
    <n v="42"/>
    <n v="4725.84"/>
    <x v="241"/>
    <d v="2024-12-18T00:00:00"/>
  </r>
  <r>
    <n v="63907"/>
    <s v="WI591"/>
    <x v="4"/>
    <n v="546.64"/>
    <n v="26"/>
    <n v="14212.64"/>
    <x v="242"/>
    <d v="2023-06-22T00:00:00"/>
  </r>
  <r>
    <n v="32930"/>
    <s v="CB356"/>
    <x v="49"/>
    <n v="761.92"/>
    <n v="34"/>
    <n v="25905.279999999999"/>
    <x v="243"/>
    <d v="2023-10-11T00:00:00"/>
  </r>
  <r>
    <n v="21324"/>
    <s v="OS572"/>
    <x v="22"/>
    <n v="468.95"/>
    <n v="24"/>
    <n v="11254.8"/>
    <x v="244"/>
    <d v="2023-05-03T00:00:00"/>
  </r>
  <r>
    <n v="75629"/>
    <s v="HG412"/>
    <x v="26"/>
    <n v="730.09"/>
    <n v="45"/>
    <n v="32854.050000000003"/>
    <x v="245"/>
    <d v="2023-07-03T00:00:00"/>
  </r>
  <r>
    <n v="99085"/>
    <s v="WD343"/>
    <x v="25"/>
    <n v="972.24"/>
    <n v="44"/>
    <n v="42778.559999999998"/>
    <x v="246"/>
    <d v="2023-07-11T00:00:00"/>
  </r>
  <r>
    <n v="33584"/>
    <s v="GP381"/>
    <x v="8"/>
    <n v="596.97"/>
    <n v="43"/>
    <n v="25669.71"/>
    <x v="247"/>
    <d v="2023-05-21T00:00:00"/>
  </r>
  <r>
    <n v="78393"/>
    <s v="MS200"/>
    <x v="9"/>
    <n v="796.94"/>
    <n v="11"/>
    <n v="8766.34"/>
    <x v="248"/>
    <d v="2023-06-30T00:00:00"/>
  </r>
  <r>
    <n v="79026"/>
    <s v="WI591"/>
    <x v="30"/>
    <n v="988.73"/>
    <n v="46"/>
    <n v="45481.58"/>
    <x v="249"/>
    <d v="2024-06-25T00:00:00"/>
  </r>
  <r>
    <n v="56681"/>
    <s v="BL462"/>
    <x v="1"/>
    <n v="683.98"/>
    <n v="10"/>
    <n v="6839.8"/>
    <x v="250"/>
    <d v="2023-03-02T00:00:00"/>
  </r>
  <r>
    <n v="85821"/>
    <s v="WD343"/>
    <x v="9"/>
    <n v="796.94"/>
    <n v="15"/>
    <n v="11954.1"/>
    <x v="251"/>
    <d v="2023-09-29T00:00:00"/>
  </r>
  <r>
    <n v="50180"/>
    <s v="BL462"/>
    <x v="21"/>
    <n v="534.77"/>
    <n v="22"/>
    <n v="11764.94"/>
    <x v="85"/>
    <d v="2024-05-30T00:00:00"/>
  </r>
  <r>
    <n v="75746"/>
    <s v="WD343"/>
    <x v="35"/>
    <n v="611.66"/>
    <n v="39"/>
    <n v="23854.74"/>
    <x v="16"/>
    <d v="2024-03-09T00:00:00"/>
  </r>
  <r>
    <n v="22668"/>
    <s v="GB310"/>
    <x v="8"/>
    <n v="596.97"/>
    <n v="45"/>
    <n v="26863.65"/>
    <x v="182"/>
    <d v="2023-12-16T00:00:00"/>
  </r>
  <r>
    <n v="52483"/>
    <s v="FL553"/>
    <x v="26"/>
    <n v="730.09"/>
    <n v="37"/>
    <n v="27013.33"/>
    <x v="252"/>
    <d v="2023-10-23T00:00:00"/>
  </r>
  <r>
    <n v="56267"/>
    <s v="WI591"/>
    <x v="42"/>
    <n v="430.1"/>
    <n v="5"/>
    <n v="2150.5"/>
    <x v="253"/>
    <d v="2024-01-22T00:00:00"/>
  </r>
  <r>
    <n v="34103"/>
    <s v="GP381"/>
    <x v="2"/>
    <n v="68.05"/>
    <n v="17"/>
    <n v="1156.8499999999999"/>
    <x v="254"/>
    <d v="2023-12-10T00:00:00"/>
  </r>
  <r>
    <n v="11404"/>
    <s v="CB356"/>
    <x v="18"/>
    <n v="617.33000000000004"/>
    <n v="38"/>
    <n v="23458.54"/>
    <x v="255"/>
    <d v="2023-01-21T00:00:00"/>
  </r>
  <r>
    <n v="86685"/>
    <s v="FL553"/>
    <x v="32"/>
    <n v="184.57"/>
    <n v="41"/>
    <n v="7567.37"/>
    <x v="256"/>
    <d v="2023-02-15T00:00:00"/>
  </r>
  <r>
    <n v="31705"/>
    <s v="HL575"/>
    <x v="46"/>
    <n v="346.4"/>
    <n v="24"/>
    <n v="8313.6"/>
    <x v="257"/>
    <d v="2023-08-11T00:00:00"/>
  </r>
  <r>
    <n v="99954"/>
    <s v="HG412"/>
    <x v="15"/>
    <n v="608.37"/>
    <n v="13"/>
    <n v="7908.81"/>
    <x v="258"/>
    <d v="2024-01-19T00:00:00"/>
  </r>
  <r>
    <n v="46591"/>
    <s v="MS200"/>
    <x v="13"/>
    <n v="110.41"/>
    <n v="28"/>
    <n v="3091.48"/>
    <x v="259"/>
    <d v="2024-11-08T00:00:00"/>
  </r>
  <r>
    <n v="21265"/>
    <s v="SL727"/>
    <x v="34"/>
    <n v="474.55"/>
    <n v="26"/>
    <n v="12338.3"/>
    <x v="227"/>
    <d v="2023-11-28T00:00:00"/>
  </r>
  <r>
    <n v="63638"/>
    <s v="WI591"/>
    <x v="4"/>
    <n v="546.64"/>
    <n v="15"/>
    <n v="8199.6"/>
    <x v="260"/>
    <d v="2024-01-12T00:00:00"/>
  </r>
  <r>
    <n v="69643"/>
    <s v="SV938"/>
    <x v="13"/>
    <n v="110.41"/>
    <n v="1"/>
    <n v="110.41"/>
    <x v="261"/>
    <d v="2023-10-01T00:00:00"/>
  </r>
  <r>
    <n v="65276"/>
    <s v="PL284"/>
    <x v="36"/>
    <n v="796.51"/>
    <n v="2"/>
    <n v="1593.02"/>
    <x v="262"/>
    <d v="2024-07-02T00:00:00"/>
  </r>
  <r>
    <n v="78870"/>
    <s v="SL727"/>
    <x v="2"/>
    <n v="68.05"/>
    <n v="9"/>
    <n v="612.45000000000005"/>
    <x v="263"/>
    <d v="2023-07-09T00:00:00"/>
  </r>
  <r>
    <n v="16249"/>
    <s v="RR354"/>
    <x v="18"/>
    <n v="617.33000000000004"/>
    <n v="23"/>
    <n v="14198.59"/>
    <x v="264"/>
    <d v="2024-06-18T00:00:00"/>
  </r>
  <r>
    <n v="72661"/>
    <s v="FL553"/>
    <x v="45"/>
    <n v="890.84"/>
    <n v="6"/>
    <n v="5345.04"/>
    <x v="265"/>
    <d v="2024-03-13T00:00:00"/>
  </r>
  <r>
    <n v="81723"/>
    <s v="HN871"/>
    <x v="12"/>
    <n v="875.47"/>
    <n v="48"/>
    <n v="42022.559999999998"/>
    <x v="176"/>
    <d v="2023-12-01T00:00:00"/>
  </r>
  <r>
    <n v="26155"/>
    <s v="CB356"/>
    <x v="25"/>
    <n v="972.24"/>
    <n v="28"/>
    <n v="27222.720000000001"/>
    <x v="266"/>
    <d v="2023-10-18T00:00:00"/>
  </r>
  <r>
    <n v="22622"/>
    <s v="CB356"/>
    <x v="32"/>
    <n v="184.57"/>
    <n v="12"/>
    <n v="2214.84"/>
    <x v="267"/>
    <d v="2023-02-25T00:00:00"/>
  </r>
  <r>
    <n v="27967"/>
    <s v="GB310"/>
    <x v="39"/>
    <n v="402.36"/>
    <n v="30"/>
    <n v="12070.8"/>
    <x v="268"/>
    <d v="2024-09-09T00:00:00"/>
  </r>
  <r>
    <n v="31464"/>
    <s v="SL727"/>
    <x v="4"/>
    <n v="546.64"/>
    <n v="2"/>
    <n v="1093.28"/>
    <x v="269"/>
    <d v="2023-03-20T00:00:00"/>
  </r>
  <r>
    <n v="58282"/>
    <s v="HN871"/>
    <x v="37"/>
    <n v="753.12"/>
    <n v="46"/>
    <n v="34643.519999999997"/>
    <x v="270"/>
    <d v="2024-08-02T00:00:00"/>
  </r>
  <r>
    <n v="46864"/>
    <s v="SV938"/>
    <x v="47"/>
    <n v="325"/>
    <n v="9"/>
    <n v="2925"/>
    <x v="271"/>
    <d v="2024-08-04T00:00:00"/>
  </r>
  <r>
    <n v="94326"/>
    <s v="OS572"/>
    <x v="9"/>
    <n v="796.94"/>
    <n v="48"/>
    <n v="38253.120000000003"/>
    <x v="272"/>
    <d v="2024-03-22T00:00:00"/>
  </r>
  <r>
    <n v="39909"/>
    <s v="HN871"/>
    <x v="5"/>
    <n v="622.16"/>
    <n v="49"/>
    <n v="30485.84"/>
    <x v="273"/>
    <d v="2023-04-20T00:00:00"/>
  </r>
  <r>
    <n v="39028"/>
    <s v="RR309"/>
    <x v="2"/>
    <n v="68.05"/>
    <n v="5"/>
    <n v="340.25"/>
    <x v="124"/>
    <d v="2023-04-16T00:00:00"/>
  </r>
  <r>
    <n v="82985"/>
    <s v="OS572"/>
    <x v="7"/>
    <n v="101.12"/>
    <n v="4"/>
    <n v="404.48"/>
    <x v="274"/>
    <d v="2024-12-07T00:00:00"/>
  </r>
  <r>
    <n v="24248"/>
    <s v="WD343"/>
    <x v="38"/>
    <n v="45.72"/>
    <n v="7"/>
    <n v="320.04000000000002"/>
    <x v="275"/>
    <d v="2023-12-15T00:00:00"/>
  </r>
  <r>
    <n v="28226"/>
    <s v="CB356"/>
    <x v="40"/>
    <n v="795.19"/>
    <n v="39"/>
    <n v="31012.41"/>
    <x v="198"/>
    <d v="2024-08-05T00:00:00"/>
  </r>
  <r>
    <n v="43966"/>
    <s v="HN871"/>
    <x v="10"/>
    <n v="233.83"/>
    <n v="8"/>
    <n v="1870.64"/>
    <x v="168"/>
    <d v="2024-02-09T00:00:00"/>
  </r>
  <r>
    <n v="89448"/>
    <s v="GP381"/>
    <x v="31"/>
    <n v="346.37"/>
    <n v="27"/>
    <n v="9351.99"/>
    <x v="143"/>
    <d v="2023-12-14T00:00:00"/>
  </r>
  <r>
    <n v="12776"/>
    <s v="CB356"/>
    <x v="0"/>
    <n v="855.99"/>
    <n v="47"/>
    <n v="40231.53"/>
    <x v="276"/>
    <d v="2023-05-19T00:00:00"/>
  </r>
  <r>
    <n v="73515"/>
    <s v="CB356"/>
    <x v="2"/>
    <n v="68.05"/>
    <n v="28"/>
    <n v="1905.4"/>
    <x v="277"/>
    <d v="2023-02-28T00:00:00"/>
  </r>
  <r>
    <n v="76972"/>
    <s v="HN871"/>
    <x v="2"/>
    <n v="68.05"/>
    <n v="19"/>
    <n v="1292.95"/>
    <x v="278"/>
    <d v="2023-11-03T00:00:00"/>
  </r>
  <r>
    <n v="29691"/>
    <s v="HL575"/>
    <x v="40"/>
    <n v="795.19"/>
    <n v="17"/>
    <n v="13518.23"/>
    <x v="253"/>
    <d v="2024-09-30T00:00:00"/>
  </r>
  <r>
    <n v="78313"/>
    <s v="HG412"/>
    <x v="24"/>
    <n v="323.73"/>
    <n v="14"/>
    <n v="4532.22"/>
    <x v="203"/>
    <d v="2024-07-09T00:00:00"/>
  </r>
  <r>
    <n v="34317"/>
    <s v="GP381"/>
    <x v="43"/>
    <n v="870.6"/>
    <n v="48"/>
    <n v="41788.800000000003"/>
    <x v="279"/>
    <d v="2024-10-18T00:00:00"/>
  </r>
  <r>
    <n v="96973"/>
    <s v="PL284"/>
    <x v="0"/>
    <n v="855.99"/>
    <n v="30"/>
    <n v="25679.7"/>
    <x v="106"/>
    <d v="2023-11-27T00:00:00"/>
  </r>
  <r>
    <n v="17941"/>
    <s v="HN871"/>
    <x v="35"/>
    <n v="611.66"/>
    <n v="30"/>
    <n v="18349.8"/>
    <x v="178"/>
    <d v="2023-03-13T00:00:00"/>
  </r>
  <r>
    <n v="61297"/>
    <s v="FL553"/>
    <x v="7"/>
    <n v="101.12"/>
    <n v="44"/>
    <n v="4449.28"/>
    <x v="2"/>
    <d v="2024-09-10T00:00:00"/>
  </r>
  <r>
    <n v="94988"/>
    <s v="HG412"/>
    <x v="46"/>
    <n v="346.4"/>
    <n v="7"/>
    <n v="2424.8000000000002"/>
    <x v="280"/>
    <d v="2024-10-13T00:00:00"/>
  </r>
  <r>
    <n v="54266"/>
    <s v="SV938"/>
    <x v="21"/>
    <n v="534.77"/>
    <n v="12"/>
    <n v="6417.24"/>
    <x v="281"/>
    <d v="2024-05-18T00:00:00"/>
  </r>
  <r>
    <n v="27504"/>
    <s v="HN871"/>
    <x v="22"/>
    <n v="468.95"/>
    <n v="11"/>
    <n v="5158.45"/>
    <x v="282"/>
    <d v="2024-10-01T00:00:00"/>
  </r>
  <r>
    <n v="32171"/>
    <s v="GB310"/>
    <x v="45"/>
    <n v="890.84"/>
    <n v="36"/>
    <n v="32070.240000000002"/>
    <x v="283"/>
    <d v="2023-07-29T00:00:00"/>
  </r>
  <r>
    <n v="80393"/>
    <s v="FL553"/>
    <x v="22"/>
    <n v="468.95"/>
    <n v="33"/>
    <n v="15475.35"/>
    <x v="284"/>
    <d v="2023-12-01T00:00:00"/>
  </r>
  <r>
    <n v="68509"/>
    <s v="GH786"/>
    <x v="33"/>
    <n v="705.68"/>
    <n v="31"/>
    <n v="21876.080000000002"/>
    <x v="285"/>
    <d v="2023-06-24T00:00:00"/>
  </r>
  <r>
    <n v="40118"/>
    <s v="BZ515"/>
    <x v="43"/>
    <n v="870.6"/>
    <n v="16"/>
    <n v="13929.6"/>
    <x v="2"/>
    <d v="2024-10-06T00:00:00"/>
  </r>
  <r>
    <n v="22561"/>
    <s v="FL553"/>
    <x v="31"/>
    <n v="346.37"/>
    <n v="28"/>
    <n v="9698.36"/>
    <x v="286"/>
    <d v="2023-02-03T00:00:00"/>
  </r>
  <r>
    <n v="52705"/>
    <s v="HN871"/>
    <x v="30"/>
    <n v="988.73"/>
    <n v="40"/>
    <n v="39549.199999999997"/>
    <x v="287"/>
    <d v="2023-01-26T00:00:00"/>
  </r>
  <r>
    <n v="56135"/>
    <s v="BL462"/>
    <x v="18"/>
    <n v="617.33000000000004"/>
    <n v="15"/>
    <n v="9259.9500000000007"/>
    <x v="288"/>
    <d v="2024-11-04T00:00:00"/>
  </r>
  <r>
    <n v="75126"/>
    <s v="GH786"/>
    <x v="18"/>
    <n v="617.33000000000004"/>
    <n v="4"/>
    <n v="2469.3200000000002"/>
    <x v="289"/>
    <d v="2024-07-03T00:00:00"/>
  </r>
  <r>
    <n v="80522"/>
    <s v="PL284"/>
    <x v="22"/>
    <n v="468.95"/>
    <n v="33"/>
    <n v="15475.35"/>
    <x v="290"/>
    <d v="2023-10-10T00:00:00"/>
  </r>
  <r>
    <n v="60774"/>
    <s v="HL575"/>
    <x v="48"/>
    <n v="95.12"/>
    <n v="36"/>
    <n v="3424.32"/>
    <x v="291"/>
    <d v="2023-05-14T00:00:00"/>
  </r>
  <r>
    <n v="53240"/>
    <s v="HN871"/>
    <x v="12"/>
    <n v="875.47"/>
    <n v="29"/>
    <n v="25388.63"/>
    <x v="292"/>
    <d v="2023-09-23T00:00:00"/>
  </r>
  <r>
    <n v="17398"/>
    <s v="HL575"/>
    <x v="11"/>
    <n v="988.47"/>
    <n v="25"/>
    <n v="24711.75"/>
    <x v="293"/>
    <d v="2023-10-04T00:00:00"/>
  </r>
  <r>
    <n v="57858"/>
    <s v="MS200"/>
    <x v="17"/>
    <n v="366.3"/>
    <n v="13"/>
    <n v="4761.8999999999996"/>
    <x v="7"/>
    <d v="2023-11-03T00:00:00"/>
  </r>
  <r>
    <n v="93000"/>
    <s v="BZ515"/>
    <x v="12"/>
    <n v="875.47"/>
    <n v="32"/>
    <n v="28015.040000000001"/>
    <x v="294"/>
    <d v="2023-02-08T00:00:00"/>
  </r>
  <r>
    <n v="59986"/>
    <s v="BL462"/>
    <x v="24"/>
    <n v="323.73"/>
    <n v="33"/>
    <n v="10683.09"/>
    <x v="117"/>
    <d v="2024-10-19T00:00:00"/>
  </r>
  <r>
    <n v="69704"/>
    <s v="SV938"/>
    <x v="16"/>
    <n v="654.4"/>
    <n v="45"/>
    <n v="29448"/>
    <x v="295"/>
    <d v="2024-03-05T00:00:00"/>
  </r>
  <r>
    <n v="46323"/>
    <s v="SV938"/>
    <x v="25"/>
    <n v="972.24"/>
    <n v="42"/>
    <n v="40834.080000000002"/>
    <x v="274"/>
    <d v="2024-06-27T00:00:00"/>
  </r>
  <r>
    <n v="60804"/>
    <s v="BL462"/>
    <x v="28"/>
    <n v="641.34"/>
    <n v="3"/>
    <n v="1924.02"/>
    <x v="231"/>
    <d v="2023-08-22T00:00:00"/>
  </r>
  <r>
    <n v="36936"/>
    <s v="MS200"/>
    <x v="28"/>
    <n v="641.34"/>
    <n v="25"/>
    <n v="16033.5"/>
    <x v="296"/>
    <d v="2024-12-15T00:00:00"/>
  </r>
  <r>
    <n v="97707"/>
    <s v="MT731"/>
    <x v="47"/>
    <n v="325"/>
    <n v="17"/>
    <n v="5525"/>
    <x v="297"/>
    <d v="2024-08-02T00:00:00"/>
  </r>
  <r>
    <n v="73780"/>
    <s v="OS572"/>
    <x v="4"/>
    <n v="546.64"/>
    <n v="27"/>
    <n v="14759.28"/>
    <x v="158"/>
    <d v="2023-07-25T00:00:00"/>
  </r>
  <r>
    <n v="33107"/>
    <s v="WI591"/>
    <x v="37"/>
    <n v="753.12"/>
    <n v="2"/>
    <n v="1506.24"/>
    <x v="160"/>
    <d v="2023-10-05T00:00:00"/>
  </r>
  <r>
    <n v="53488"/>
    <s v="BZ515"/>
    <x v="25"/>
    <n v="972.24"/>
    <n v="23"/>
    <n v="22361.52"/>
    <x v="298"/>
    <d v="2024-11-29T00:00:00"/>
  </r>
  <r>
    <n v="43730"/>
    <s v="RR309"/>
    <x v="13"/>
    <n v="110.41"/>
    <n v="35"/>
    <n v="3864.35"/>
    <x v="299"/>
    <d v="2023-10-08T00:00:00"/>
  </r>
  <r>
    <n v="11654"/>
    <s v="SV938"/>
    <x v="48"/>
    <n v="95.12"/>
    <n v="50"/>
    <n v="4756"/>
    <x v="173"/>
    <d v="2024-09-14T00:00:00"/>
  </r>
  <r>
    <n v="90340"/>
    <s v="MT731"/>
    <x v="36"/>
    <n v="796.51"/>
    <n v="20"/>
    <n v="15930.2"/>
    <x v="300"/>
    <d v="2023-06-28T00:00:00"/>
  </r>
  <r>
    <n v="76605"/>
    <s v="MS200"/>
    <x v="35"/>
    <n v="611.66"/>
    <n v="44"/>
    <n v="26913.040000000001"/>
    <x v="127"/>
    <d v="2024-06-07T00:00:00"/>
  </r>
  <r>
    <n v="93873"/>
    <s v="SL727"/>
    <x v="38"/>
    <n v="45.72"/>
    <n v="33"/>
    <n v="1508.76"/>
    <x v="301"/>
    <d v="2024-06-30T00:00:00"/>
  </r>
  <r>
    <n v="16581"/>
    <s v="GB310"/>
    <x v="38"/>
    <n v="45.72"/>
    <n v="29"/>
    <n v="1325.88"/>
    <x v="302"/>
    <d v="2024-02-27T00:00:00"/>
  </r>
  <r>
    <n v="71892"/>
    <s v="HG412"/>
    <x v="17"/>
    <n v="366.3"/>
    <n v="23"/>
    <n v="8424.9"/>
    <x v="303"/>
    <d v="2024-02-28T00:00:00"/>
  </r>
  <r>
    <n v="79162"/>
    <s v="HL575"/>
    <x v="14"/>
    <n v="112.52"/>
    <n v="1"/>
    <n v="112.52"/>
    <x v="304"/>
    <d v="2024-03-14T00:00:00"/>
  </r>
  <r>
    <n v="91327"/>
    <s v="CB356"/>
    <x v="19"/>
    <n v="682.74"/>
    <n v="37"/>
    <n v="25261.38"/>
    <x v="105"/>
    <d v="2023-11-12T00:00:00"/>
  </r>
  <r>
    <n v="74529"/>
    <s v="WD343"/>
    <x v="14"/>
    <n v="112.52"/>
    <n v="28"/>
    <n v="3150.56"/>
    <x v="206"/>
    <d v="2024-10-28T00:00:00"/>
  </r>
  <r>
    <n v="93143"/>
    <s v="SL727"/>
    <x v="29"/>
    <n v="404.9"/>
    <n v="40"/>
    <n v="16196"/>
    <x v="305"/>
    <d v="2024-03-01T00:00:00"/>
  </r>
  <r>
    <n v="88273"/>
    <s v="BL462"/>
    <x v="13"/>
    <n v="110.41"/>
    <n v="36"/>
    <n v="3974.76"/>
    <x v="6"/>
    <d v="2023-11-27T00:00:00"/>
  </r>
  <r>
    <n v="52239"/>
    <s v="MS200"/>
    <x v="14"/>
    <n v="112.52"/>
    <n v="1"/>
    <n v="112.52"/>
    <x v="306"/>
    <d v="2024-08-03T00:00:00"/>
  </r>
  <r>
    <n v="64930"/>
    <s v="GB310"/>
    <x v="22"/>
    <n v="468.95"/>
    <n v="35"/>
    <n v="16413.25"/>
    <x v="76"/>
    <d v="2023-09-22T00:00:00"/>
  </r>
  <r>
    <n v="70420"/>
    <s v="OS572"/>
    <x v="22"/>
    <n v="468.95"/>
    <n v="12"/>
    <n v="5627.4"/>
    <x v="307"/>
    <d v="2024-06-19T00:00:00"/>
  </r>
  <r>
    <n v="12397"/>
    <s v="HN871"/>
    <x v="21"/>
    <n v="534.77"/>
    <n v="48"/>
    <n v="25668.959999999999"/>
    <x v="308"/>
    <d v="2024-02-28T00:00:00"/>
  </r>
  <r>
    <n v="22338"/>
    <s v="SV938"/>
    <x v="14"/>
    <n v="112.52"/>
    <n v="3"/>
    <n v="337.56"/>
    <x v="309"/>
    <d v="2024-10-15T00:00:00"/>
  </r>
  <r>
    <n v="67490"/>
    <s v="MT731"/>
    <x v="7"/>
    <n v="101.12"/>
    <n v="26"/>
    <n v="2629.12"/>
    <x v="66"/>
    <d v="2024-08-01T00:00:00"/>
  </r>
  <r>
    <n v="87685"/>
    <s v="FL553"/>
    <x v="48"/>
    <n v="95.12"/>
    <n v="37"/>
    <n v="3519.44"/>
    <x v="310"/>
    <d v="2023-02-03T00:00:00"/>
  </r>
  <r>
    <n v="27541"/>
    <s v="MS200"/>
    <x v="38"/>
    <n v="45.72"/>
    <n v="8"/>
    <n v="365.76"/>
    <x v="197"/>
    <d v="2024-03-01T00:00:00"/>
  </r>
  <r>
    <n v="88560"/>
    <s v="SL727"/>
    <x v="23"/>
    <n v="533.15"/>
    <n v="17"/>
    <n v="9063.5499999999993"/>
    <x v="311"/>
    <d v="2023-08-25T00:00:00"/>
  </r>
  <r>
    <n v="58492"/>
    <s v="BL462"/>
    <x v="45"/>
    <n v="890.84"/>
    <n v="29"/>
    <n v="25834.36"/>
    <x v="219"/>
    <d v="2023-07-26T00:00:00"/>
  </r>
  <r>
    <n v="44585"/>
    <s v="MS200"/>
    <x v="41"/>
    <n v="158.66999999999999"/>
    <n v="15"/>
    <n v="2380.0500000000002"/>
    <x v="52"/>
    <d v="2023-04-27T00:00:00"/>
  </r>
  <r>
    <n v="12270"/>
    <s v="FL553"/>
    <x v="46"/>
    <n v="346.4"/>
    <n v="11"/>
    <n v="3810.4"/>
    <x v="312"/>
    <d v="2024-05-20T00:00:00"/>
  </r>
  <r>
    <n v="22736"/>
    <s v="GP381"/>
    <x v="48"/>
    <n v="95.12"/>
    <n v="44"/>
    <n v="4185.28"/>
    <x v="313"/>
    <d v="2023-09-27T00:00:00"/>
  </r>
  <r>
    <n v="57262"/>
    <s v="WI591"/>
    <x v="38"/>
    <n v="45.72"/>
    <n v="35"/>
    <n v="1600.2"/>
    <x v="314"/>
    <d v="2024-12-01T00:00:00"/>
  </r>
  <r>
    <n v="83694"/>
    <s v="HG412"/>
    <x v="13"/>
    <n v="110.41"/>
    <n v="18"/>
    <n v="1987.38"/>
    <x v="315"/>
    <d v="2024-06-20T00:00:00"/>
  </r>
  <r>
    <n v="36973"/>
    <s v="HG412"/>
    <x v="41"/>
    <n v="158.66999999999999"/>
    <n v="18"/>
    <n v="2856.06"/>
    <x v="316"/>
    <d v="2023-12-01T00:00:00"/>
  </r>
  <r>
    <n v="96138"/>
    <s v="HL575"/>
    <x v="48"/>
    <n v="95.12"/>
    <n v="37"/>
    <n v="3519.44"/>
    <x v="79"/>
    <d v="2023-12-09T00:00:00"/>
  </r>
  <r>
    <n v="48328"/>
    <s v="HG412"/>
    <x v="35"/>
    <n v="611.66"/>
    <n v="21"/>
    <n v="12844.86"/>
    <x v="30"/>
    <d v="2023-06-29T00:00:00"/>
  </r>
  <r>
    <n v="55489"/>
    <s v="RR354"/>
    <x v="32"/>
    <n v="184.57"/>
    <n v="38"/>
    <n v="7013.66"/>
    <x v="317"/>
    <d v="2023-07-14T00:00:00"/>
  </r>
  <r>
    <n v="30869"/>
    <s v="RR309"/>
    <x v="22"/>
    <n v="468.95"/>
    <n v="5"/>
    <n v="2344.75"/>
    <x v="318"/>
    <d v="2024-09-10T00:00:00"/>
  </r>
  <r>
    <n v="56902"/>
    <s v="WD343"/>
    <x v="6"/>
    <n v="222.47"/>
    <n v="13"/>
    <n v="2892.11"/>
    <x v="319"/>
    <d v="2024-08-20T00:00:00"/>
  </r>
  <r>
    <n v="82458"/>
    <s v="BZ515"/>
    <x v="43"/>
    <n v="870.6"/>
    <n v="41"/>
    <n v="35694.6"/>
    <x v="82"/>
    <d v="2024-07-19T00:00:00"/>
  </r>
  <r>
    <n v="11128"/>
    <s v="MS200"/>
    <x v="3"/>
    <n v="449.74"/>
    <n v="21"/>
    <n v="9444.5400000000009"/>
    <x v="320"/>
    <d v="2024-08-13T00:00:00"/>
  </r>
  <r>
    <n v="31734"/>
    <s v="BL462"/>
    <x v="31"/>
    <n v="346.37"/>
    <n v="46"/>
    <n v="15933.02"/>
    <x v="231"/>
    <d v="2024-04-25T00:00:00"/>
  </r>
  <r>
    <n v="18349"/>
    <s v="HG412"/>
    <x v="28"/>
    <n v="641.34"/>
    <n v="50"/>
    <n v="32067"/>
    <x v="42"/>
    <d v="2023-01-24T00:00:00"/>
  </r>
  <r>
    <n v="49390"/>
    <s v="GP381"/>
    <x v="8"/>
    <n v="596.97"/>
    <n v="43"/>
    <n v="25669.71"/>
    <x v="161"/>
    <d v="2023-09-21T00:00:00"/>
  </r>
  <r>
    <n v="22580"/>
    <s v="OS572"/>
    <x v="48"/>
    <n v="95.12"/>
    <n v="25"/>
    <n v="2378"/>
    <x v="106"/>
    <d v="2023-02-28T00:00:00"/>
  </r>
  <r>
    <n v="39360"/>
    <s v="RR354"/>
    <x v="38"/>
    <n v="45.72"/>
    <n v="45"/>
    <n v="2057.4"/>
    <x v="321"/>
    <d v="2024-05-01T00:00:00"/>
  </r>
  <r>
    <n v="75768"/>
    <s v="MT731"/>
    <x v="34"/>
    <n v="474.55"/>
    <n v="12"/>
    <n v="5694.6"/>
    <x v="41"/>
    <d v="2024-08-31T00:00:00"/>
  </r>
  <r>
    <n v="85549"/>
    <s v="MS200"/>
    <x v="37"/>
    <n v="753.12"/>
    <n v="46"/>
    <n v="34643.519999999997"/>
    <x v="322"/>
    <d v="2024-10-19T00:00:00"/>
  </r>
  <r>
    <n v="64524"/>
    <s v="BZ515"/>
    <x v="48"/>
    <n v="95.12"/>
    <n v="16"/>
    <n v="1521.92"/>
    <x v="323"/>
    <d v="2024-01-29T00:00:00"/>
  </r>
  <r>
    <n v="15458"/>
    <s v="BL462"/>
    <x v="31"/>
    <n v="346.37"/>
    <n v="38"/>
    <n v="13162.06"/>
    <x v="171"/>
    <d v="2024-02-22T00:00:00"/>
  </r>
  <r>
    <n v="92464"/>
    <s v="OS572"/>
    <x v="40"/>
    <n v="795.19"/>
    <n v="32"/>
    <n v="25446.080000000002"/>
    <x v="324"/>
    <d v="2024-06-29T00:00:00"/>
  </r>
  <r>
    <n v="60241"/>
    <s v="GH786"/>
    <x v="10"/>
    <n v="233.83"/>
    <n v="39"/>
    <n v="9119.3700000000008"/>
    <x v="3"/>
    <d v="2024-07-19T00:00:00"/>
  </r>
  <r>
    <n v="64461"/>
    <s v="RR354"/>
    <x v="16"/>
    <n v="654.4"/>
    <n v="21"/>
    <n v="13742.4"/>
    <x v="45"/>
    <d v="2023-06-17T00:00:00"/>
  </r>
  <r>
    <n v="34168"/>
    <s v="GB310"/>
    <x v="21"/>
    <n v="534.77"/>
    <n v="8"/>
    <n v="4278.16"/>
    <x v="325"/>
    <d v="2023-07-19T00:00:00"/>
  </r>
  <r>
    <n v="24032"/>
    <s v="BZ515"/>
    <x v="26"/>
    <n v="730.09"/>
    <n v="33"/>
    <n v="24092.97"/>
    <x v="95"/>
    <d v="2024-11-20T00:00:00"/>
  </r>
  <r>
    <n v="58651"/>
    <s v="WD343"/>
    <x v="32"/>
    <n v="184.57"/>
    <n v="35"/>
    <n v="6459.95"/>
    <x v="326"/>
    <d v="2024-01-22T00:00:00"/>
  </r>
  <r>
    <n v="27771"/>
    <s v="CB356"/>
    <x v="24"/>
    <n v="323.73"/>
    <n v="13"/>
    <n v="4208.49"/>
    <x v="327"/>
    <d v="2023-08-31T00:00:00"/>
  </r>
  <r>
    <n v="92923"/>
    <s v="WD343"/>
    <x v="4"/>
    <n v="546.64"/>
    <n v="9"/>
    <n v="4919.76"/>
    <x v="153"/>
    <d v="2024-03-28T00:00:00"/>
  </r>
  <r>
    <n v="30865"/>
    <s v="HG412"/>
    <x v="46"/>
    <n v="346.4"/>
    <n v="31"/>
    <n v="10738.4"/>
    <x v="282"/>
    <d v="2023-07-15T00:00:00"/>
  </r>
  <r>
    <n v="21313"/>
    <s v="FL553"/>
    <x v="9"/>
    <n v="796.94"/>
    <n v="22"/>
    <n v="17532.68"/>
    <x v="328"/>
    <d v="2023-05-01T00:00:00"/>
  </r>
  <r>
    <n v="99839"/>
    <s v="RR309"/>
    <x v="19"/>
    <n v="682.74"/>
    <n v="48"/>
    <n v="32771.519999999997"/>
    <x v="329"/>
    <d v="2023-06-20T00:00:00"/>
  </r>
  <r>
    <n v="20391"/>
    <s v="RR309"/>
    <x v="8"/>
    <n v="596.97"/>
    <n v="41"/>
    <n v="24475.77"/>
    <x v="330"/>
    <d v="2023-12-04T00:00:00"/>
  </r>
  <r>
    <n v="99950"/>
    <s v="CB356"/>
    <x v="5"/>
    <n v="622.16"/>
    <n v="8"/>
    <n v="4977.28"/>
    <x v="331"/>
    <d v="2023-04-28T00:00:00"/>
  </r>
  <r>
    <n v="14984"/>
    <s v="MT731"/>
    <x v="8"/>
    <n v="596.97"/>
    <n v="21"/>
    <n v="12536.37"/>
    <x v="276"/>
    <d v="2023-06-25T00:00:00"/>
  </r>
  <r>
    <n v="69431"/>
    <s v="MT731"/>
    <x v="11"/>
    <n v="988.47"/>
    <n v="26"/>
    <n v="25700.22"/>
    <x v="332"/>
    <d v="2024-05-07T00:00:00"/>
  </r>
  <r>
    <n v="11640"/>
    <s v="GH786"/>
    <x v="48"/>
    <n v="95.12"/>
    <n v="41"/>
    <n v="3899.92"/>
    <x v="112"/>
    <d v="2023-09-14T00:00:00"/>
  </r>
  <r>
    <n v="62972"/>
    <s v="HN871"/>
    <x v="8"/>
    <n v="596.97"/>
    <n v="48"/>
    <n v="28654.560000000001"/>
    <x v="333"/>
    <d v="2024-02-26T00:00:00"/>
  </r>
  <r>
    <n v="65992"/>
    <s v="RR309"/>
    <x v="1"/>
    <n v="683.98"/>
    <n v="50"/>
    <n v="34199"/>
    <x v="334"/>
    <d v="2023-05-27T00:00:00"/>
  </r>
  <r>
    <n v="71180"/>
    <s v="MT731"/>
    <x v="1"/>
    <n v="683.98"/>
    <n v="25"/>
    <n v="17099.5"/>
    <x v="216"/>
    <d v="2024-04-20T00:00:00"/>
  </r>
  <r>
    <n v="82980"/>
    <s v="BL462"/>
    <x v="8"/>
    <n v="596.97"/>
    <n v="8"/>
    <n v="4775.76"/>
    <x v="16"/>
    <d v="2023-04-23T00:00:00"/>
  </r>
  <r>
    <n v="50913"/>
    <s v="BL462"/>
    <x v="41"/>
    <n v="158.66999999999999"/>
    <n v="44"/>
    <n v="6981.48"/>
    <x v="250"/>
    <d v="2024-08-03T00:00:00"/>
  </r>
  <r>
    <n v="39722"/>
    <s v="MS200"/>
    <x v="4"/>
    <n v="546.64"/>
    <n v="23"/>
    <n v="12572.72"/>
    <x v="167"/>
    <d v="2023-03-07T00:00:00"/>
  </r>
  <r>
    <n v="38628"/>
    <s v="GP381"/>
    <x v="38"/>
    <n v="45.72"/>
    <n v="45"/>
    <n v="2057.4"/>
    <x v="335"/>
    <d v="2023-07-25T00:00:00"/>
  </r>
  <r>
    <n v="85787"/>
    <s v="HN871"/>
    <x v="29"/>
    <n v="404.9"/>
    <n v="10"/>
    <n v="4049"/>
    <x v="97"/>
    <d v="2024-11-24T00:00:00"/>
  </r>
  <r>
    <n v="53349"/>
    <s v="GH786"/>
    <x v="18"/>
    <n v="617.33000000000004"/>
    <n v="14"/>
    <n v="8642.6200000000008"/>
    <x v="226"/>
    <d v="2024-03-25T00:00:00"/>
  </r>
  <r>
    <n v="64760"/>
    <s v="OS572"/>
    <x v="13"/>
    <n v="110.41"/>
    <n v="16"/>
    <n v="1766.56"/>
    <x v="284"/>
    <d v="2023-11-06T00:00:00"/>
  </r>
  <r>
    <n v="80566"/>
    <s v="SV938"/>
    <x v="40"/>
    <n v="795.19"/>
    <n v="43"/>
    <n v="34193.17"/>
    <x v="302"/>
    <d v="2024-10-24T00:00:00"/>
  </r>
  <r>
    <n v="57248"/>
    <s v="GH786"/>
    <x v="11"/>
    <n v="988.47"/>
    <n v="31"/>
    <n v="30642.57"/>
    <x v="336"/>
    <d v="2024-05-24T00:00:00"/>
  </r>
  <r>
    <n v="69370"/>
    <s v="MS200"/>
    <x v="21"/>
    <n v="534.77"/>
    <n v="6"/>
    <n v="3208.62"/>
    <x v="337"/>
    <d v="2024-05-13T00:00:00"/>
  </r>
  <r>
    <n v="30080"/>
    <s v="HN871"/>
    <x v="27"/>
    <n v="399.32"/>
    <n v="26"/>
    <n v="10382.32"/>
    <x v="55"/>
    <d v="2024-06-18T00:00:00"/>
  </r>
  <r>
    <n v="92744"/>
    <s v="SL727"/>
    <x v="25"/>
    <n v="972.24"/>
    <n v="12"/>
    <n v="11666.88"/>
    <x v="338"/>
    <d v="2024-06-07T00:00:00"/>
  </r>
  <r>
    <n v="38818"/>
    <s v="FL553"/>
    <x v="42"/>
    <n v="430.1"/>
    <n v="33"/>
    <n v="14193.3"/>
    <x v="339"/>
    <d v="2023-06-01T00:00:00"/>
  </r>
  <r>
    <n v="10768"/>
    <s v="HG412"/>
    <x v="47"/>
    <n v="325"/>
    <n v="32"/>
    <n v="10400"/>
    <x v="274"/>
    <d v="2023-07-15T00:00:00"/>
  </r>
  <r>
    <n v="20535"/>
    <s v="RR354"/>
    <x v="28"/>
    <n v="641.34"/>
    <n v="41"/>
    <n v="26294.94"/>
    <x v="340"/>
    <d v="2024-01-13T00:00:00"/>
  </r>
  <r>
    <n v="19347"/>
    <s v="CB356"/>
    <x v="1"/>
    <n v="683.98"/>
    <n v="35"/>
    <n v="23939.3"/>
    <x v="66"/>
    <d v="2023-11-15T00:00:00"/>
  </r>
  <r>
    <n v="21424"/>
    <s v="HN871"/>
    <x v="18"/>
    <n v="617.33000000000004"/>
    <n v="7"/>
    <n v="4321.3100000000004"/>
    <x v="163"/>
    <d v="2023-12-24T00:00:00"/>
  </r>
  <r>
    <n v="27229"/>
    <s v="SV938"/>
    <x v="28"/>
    <n v="641.34"/>
    <n v="7"/>
    <n v="4489.38"/>
    <x v="71"/>
    <d v="2023-12-16T00:00:00"/>
  </r>
  <r>
    <n v="75783"/>
    <s v="SL727"/>
    <x v="24"/>
    <n v="323.73"/>
    <n v="30"/>
    <n v="9711.9"/>
    <x v="341"/>
    <d v="2024-01-23T00:00:00"/>
  </r>
  <r>
    <n v="98733"/>
    <s v="SL727"/>
    <x v="26"/>
    <n v="730.09"/>
    <n v="35"/>
    <n v="25553.15"/>
    <x v="342"/>
    <d v="2023-10-31T00:00:00"/>
  </r>
  <r>
    <n v="92555"/>
    <s v="WD343"/>
    <x v="27"/>
    <n v="399.32"/>
    <n v="49"/>
    <n v="19566.68"/>
    <x v="284"/>
    <d v="2024-04-11T00:00:00"/>
  </r>
  <r>
    <n v="75835"/>
    <s v="MT731"/>
    <x v="18"/>
    <n v="617.33000000000004"/>
    <n v="3"/>
    <n v="1851.99"/>
    <x v="137"/>
    <d v="2023-12-10T00:00:00"/>
  </r>
  <r>
    <n v="23476"/>
    <s v="SL727"/>
    <x v="17"/>
    <n v="366.3"/>
    <n v="13"/>
    <n v="4761.8999999999996"/>
    <x v="343"/>
    <d v="2023-11-24T00:00:00"/>
  </r>
  <r>
    <n v="65385"/>
    <s v="BL462"/>
    <x v="3"/>
    <n v="449.74"/>
    <n v="14"/>
    <n v="6296.36"/>
    <x v="344"/>
    <d v="2023-11-28T00:00:00"/>
  </r>
  <r>
    <n v="15514"/>
    <s v="RR309"/>
    <x v="2"/>
    <n v="68.05"/>
    <n v="48"/>
    <n v="3266.4"/>
    <x v="257"/>
    <d v="2024-06-05T00:00:00"/>
  </r>
  <r>
    <n v="21209"/>
    <s v="RR309"/>
    <x v="1"/>
    <n v="683.98"/>
    <n v="41"/>
    <n v="28043.18"/>
    <x v="341"/>
    <d v="2024-11-26T00:00:00"/>
  </r>
  <r>
    <n v="25120"/>
    <s v="BZ515"/>
    <x v="8"/>
    <n v="596.97"/>
    <n v="33"/>
    <n v="19700.009999999998"/>
    <x v="99"/>
    <d v="2023-06-27T00:00:00"/>
  </r>
  <r>
    <n v="73157"/>
    <s v="SV938"/>
    <x v="20"/>
    <n v="93.68"/>
    <n v="49"/>
    <n v="4590.32"/>
    <x v="119"/>
    <d v="2023-01-25T00:00:00"/>
  </r>
  <r>
    <n v="44812"/>
    <s v="BZ515"/>
    <x v="43"/>
    <n v="870.6"/>
    <n v="6"/>
    <n v="5223.6000000000004"/>
    <x v="345"/>
    <d v="2023-09-20T00:00:00"/>
  </r>
  <r>
    <n v="26724"/>
    <s v="HL575"/>
    <x v="35"/>
    <n v="611.66"/>
    <n v="2"/>
    <n v="1223.32"/>
    <x v="346"/>
    <d v="2023-04-14T00:00:00"/>
  </r>
  <r>
    <n v="26525"/>
    <s v="RR354"/>
    <x v="39"/>
    <n v="402.36"/>
    <n v="48"/>
    <n v="19313.28"/>
    <x v="59"/>
    <d v="2023-08-20T00:00:00"/>
  </r>
  <r>
    <n v="74378"/>
    <s v="OS572"/>
    <x v="16"/>
    <n v="654.4"/>
    <n v="32"/>
    <n v="20940.8"/>
    <x v="174"/>
    <d v="2023-02-16T00:00:00"/>
  </r>
  <r>
    <n v="17598"/>
    <s v="RR309"/>
    <x v="28"/>
    <n v="641.34"/>
    <n v="16"/>
    <n v="10261.44"/>
    <x v="87"/>
    <d v="2024-07-09T00:00:00"/>
  </r>
  <r>
    <n v="46300"/>
    <s v="WD343"/>
    <x v="49"/>
    <n v="761.92"/>
    <n v="6"/>
    <n v="4571.5200000000004"/>
    <x v="347"/>
    <d v="2023-03-19T00:00:00"/>
  </r>
  <r>
    <n v="60123"/>
    <s v="CB356"/>
    <x v="29"/>
    <n v="404.9"/>
    <n v="49"/>
    <n v="19840.099999999999"/>
    <x v="348"/>
    <d v="2023-07-15T00:00:00"/>
  </r>
  <r>
    <n v="93696"/>
    <s v="RR309"/>
    <x v="15"/>
    <n v="608.37"/>
    <n v="29"/>
    <n v="17642.73"/>
    <x v="9"/>
    <d v="2023-11-05T00:00:00"/>
  </r>
  <r>
    <n v="29594"/>
    <s v="BL462"/>
    <x v="15"/>
    <n v="608.37"/>
    <n v="7"/>
    <n v="4258.59"/>
    <x v="262"/>
    <d v="2024-07-28T00:00:00"/>
  </r>
  <r>
    <n v="38139"/>
    <s v="GH786"/>
    <x v="0"/>
    <n v="855.99"/>
    <n v="32"/>
    <n v="27391.68"/>
    <x v="349"/>
    <d v="2024-11-12T00:00:00"/>
  </r>
  <r>
    <n v="42866"/>
    <s v="HL575"/>
    <x v="46"/>
    <n v="346.4"/>
    <n v="10"/>
    <n v="3464"/>
    <x v="56"/>
    <d v="2024-04-05T00:00:00"/>
  </r>
  <r>
    <n v="53025"/>
    <s v="HL575"/>
    <x v="8"/>
    <n v="596.97"/>
    <n v="47"/>
    <n v="28057.59"/>
    <x v="350"/>
    <d v="2023-08-08T00:00:00"/>
  </r>
  <r>
    <n v="53700"/>
    <s v="MT731"/>
    <x v="24"/>
    <n v="323.73"/>
    <n v="4"/>
    <n v="1294.92"/>
    <x v="33"/>
    <d v="2024-11-07T00:00:00"/>
  </r>
  <r>
    <n v="19229"/>
    <s v="GH786"/>
    <x v="43"/>
    <n v="870.6"/>
    <n v="34"/>
    <n v="29600.400000000001"/>
    <x v="351"/>
    <d v="2024-07-24T00:00:00"/>
  </r>
  <r>
    <n v="19458"/>
    <s v="PL284"/>
    <x v="16"/>
    <n v="654.4"/>
    <n v="19"/>
    <n v="12433.6"/>
    <x v="39"/>
    <d v="2023-05-11T00:00:00"/>
  </r>
  <r>
    <n v="71761"/>
    <s v="WD343"/>
    <x v="20"/>
    <n v="93.68"/>
    <n v="34"/>
    <n v="3185.12"/>
    <x v="352"/>
    <d v="2024-03-11T00:00:00"/>
  </r>
  <r>
    <n v="53301"/>
    <s v="SV938"/>
    <x v="42"/>
    <n v="430.1"/>
    <n v="27"/>
    <n v="11612.7"/>
    <x v="353"/>
    <d v="2023-05-03T00:00:00"/>
  </r>
  <r>
    <n v="44105"/>
    <s v="FL553"/>
    <x v="43"/>
    <n v="870.6"/>
    <n v="6"/>
    <n v="5223.6000000000004"/>
    <x v="336"/>
    <d v="2023-07-05T00:00:00"/>
  </r>
  <r>
    <n v="97893"/>
    <s v="HN871"/>
    <x v="28"/>
    <n v="641.34"/>
    <n v="33"/>
    <n v="21164.22"/>
    <x v="354"/>
    <d v="2024-05-15T00:00:00"/>
  </r>
  <r>
    <n v="25766"/>
    <s v="GH786"/>
    <x v="49"/>
    <n v="761.92"/>
    <n v="21"/>
    <n v="16000.32"/>
    <x v="355"/>
    <d v="2024-04-07T00:00:00"/>
  </r>
  <r>
    <n v="98086"/>
    <s v="CB356"/>
    <x v="47"/>
    <n v="325"/>
    <n v="15"/>
    <n v="4875"/>
    <x v="356"/>
    <d v="2023-03-25T00:00:00"/>
  </r>
  <r>
    <n v="23888"/>
    <s v="FL553"/>
    <x v="39"/>
    <n v="402.36"/>
    <n v="33"/>
    <n v="13277.88"/>
    <x v="119"/>
    <d v="2024-05-08T00:00:00"/>
  </r>
  <r>
    <n v="33185"/>
    <s v="HN871"/>
    <x v="5"/>
    <n v="622.16"/>
    <n v="3"/>
    <n v="1866.48"/>
    <x v="357"/>
    <d v="2023-06-08T00:00:00"/>
  </r>
  <r>
    <n v="91404"/>
    <s v="HG412"/>
    <x v="19"/>
    <n v="682.74"/>
    <n v="26"/>
    <n v="17751.240000000002"/>
    <x v="307"/>
    <d v="2024-11-05T00:00:00"/>
  </r>
  <r>
    <n v="16528"/>
    <s v="SL727"/>
    <x v="11"/>
    <n v="988.47"/>
    <n v="29"/>
    <n v="28665.63"/>
    <x v="356"/>
    <d v="2024-01-01T00:00:00"/>
  </r>
  <r>
    <n v="68437"/>
    <s v="BL462"/>
    <x v="17"/>
    <n v="366.3"/>
    <n v="8"/>
    <n v="2930.4"/>
    <x v="42"/>
    <d v="2023-09-13T00:00:00"/>
  </r>
  <r>
    <n v="66092"/>
    <s v="WD343"/>
    <x v="41"/>
    <n v="158.66999999999999"/>
    <n v="10"/>
    <n v="1586.7"/>
    <x v="358"/>
    <d v="2023-04-26T00:00:00"/>
  </r>
  <r>
    <n v="12555"/>
    <s v="GH786"/>
    <x v="21"/>
    <n v="534.77"/>
    <n v="34"/>
    <n v="18182.18"/>
    <x v="359"/>
    <d v="2024-11-02T00:00:00"/>
  </r>
  <r>
    <n v="81085"/>
    <s v="HN871"/>
    <x v="18"/>
    <n v="617.33000000000004"/>
    <n v="42"/>
    <n v="25927.86"/>
    <x v="360"/>
    <d v="2024-11-06T00:00:00"/>
  </r>
  <r>
    <n v="66246"/>
    <s v="GP381"/>
    <x v="32"/>
    <n v="184.57"/>
    <n v="6"/>
    <n v="1107.42"/>
    <x v="361"/>
    <d v="2024-12-27T00:00:00"/>
  </r>
  <r>
    <n v="36177"/>
    <s v="FL553"/>
    <x v="25"/>
    <n v="972.24"/>
    <n v="29"/>
    <n v="28194.959999999999"/>
    <x v="362"/>
    <d v="2024-06-10T00:00:00"/>
  </r>
  <r>
    <n v="20151"/>
    <s v="GH786"/>
    <x v="5"/>
    <n v="622.16"/>
    <n v="5"/>
    <n v="3110.8"/>
    <x v="86"/>
    <d v="2023-10-14T00:00:00"/>
  </r>
  <r>
    <n v="52020"/>
    <s v="GB310"/>
    <x v="38"/>
    <n v="45.72"/>
    <n v="17"/>
    <n v="777.24"/>
    <x v="258"/>
    <d v="2024-08-21T00:00:00"/>
  </r>
  <r>
    <n v="73066"/>
    <s v="HG412"/>
    <x v="12"/>
    <n v="875.47"/>
    <n v="44"/>
    <n v="38520.68"/>
    <x v="345"/>
    <d v="2024-09-16T00:00:00"/>
  </r>
  <r>
    <n v="65142"/>
    <s v="MT731"/>
    <x v="11"/>
    <n v="988.47"/>
    <n v="45"/>
    <n v="44481.15"/>
    <x v="363"/>
    <d v="2023-02-02T00:00:00"/>
  </r>
  <r>
    <n v="12104"/>
    <s v="HL575"/>
    <x v="7"/>
    <n v="101.12"/>
    <n v="47"/>
    <n v="4752.6400000000003"/>
    <x v="269"/>
    <d v="2023-04-07T00:00:00"/>
  </r>
  <r>
    <n v="89560"/>
    <s v="SV938"/>
    <x v="16"/>
    <n v="654.4"/>
    <n v="34"/>
    <n v="22249.599999999999"/>
    <x v="53"/>
    <d v="2023-04-17T00:00:00"/>
  </r>
  <r>
    <n v="20982"/>
    <s v="CB356"/>
    <x v="24"/>
    <n v="323.73"/>
    <n v="19"/>
    <n v="6150.87"/>
    <x v="364"/>
    <d v="2023-12-04T00:00:00"/>
  </r>
  <r>
    <n v="60668"/>
    <s v="HG412"/>
    <x v="29"/>
    <n v="404.9"/>
    <n v="50"/>
    <n v="20245"/>
    <x v="365"/>
    <d v="2024-08-11T00:00:00"/>
  </r>
  <r>
    <n v="35124"/>
    <s v="WD343"/>
    <x v="13"/>
    <n v="110.41"/>
    <n v="45"/>
    <n v="4968.45"/>
    <x v="223"/>
    <d v="2023-02-19T00:00:00"/>
  </r>
  <r>
    <n v="70560"/>
    <s v="BL462"/>
    <x v="23"/>
    <n v="533.15"/>
    <n v="8"/>
    <n v="4265.2"/>
    <x v="366"/>
    <d v="2024-10-10T00:00:00"/>
  </r>
  <r>
    <n v="73011"/>
    <s v="RR354"/>
    <x v="49"/>
    <n v="761.92"/>
    <n v="41"/>
    <n v="31238.720000000001"/>
    <x v="260"/>
    <d v="2024-12-08T00:00:00"/>
  </r>
  <r>
    <n v="51003"/>
    <s v="PL284"/>
    <x v="37"/>
    <n v="753.12"/>
    <n v="21"/>
    <n v="15815.52"/>
    <x v="263"/>
    <d v="2024-05-19T00:00:00"/>
  </r>
  <r>
    <n v="34678"/>
    <s v="HN871"/>
    <x v="23"/>
    <n v="533.15"/>
    <n v="41"/>
    <n v="21859.15"/>
    <x v="316"/>
    <d v="2023-07-28T00:00:00"/>
  </r>
  <r>
    <n v="15379"/>
    <s v="RR354"/>
    <x v="40"/>
    <n v="795.19"/>
    <n v="11"/>
    <n v="8747.09"/>
    <x v="367"/>
    <d v="2023-06-03T00:00:00"/>
  </r>
  <r>
    <n v="99485"/>
    <s v="BL462"/>
    <x v="48"/>
    <n v="95.12"/>
    <n v="23"/>
    <n v="2187.7600000000002"/>
    <x v="368"/>
    <d v="2024-09-19T00:00:00"/>
  </r>
  <r>
    <n v="36461"/>
    <s v="BZ515"/>
    <x v="46"/>
    <n v="346.4"/>
    <n v="44"/>
    <n v="15241.6"/>
    <x v="192"/>
    <d v="2024-12-23T00:00:00"/>
  </r>
  <r>
    <n v="94462"/>
    <s v="GH786"/>
    <x v="6"/>
    <n v="222.47"/>
    <n v="19"/>
    <n v="4226.93"/>
    <x v="369"/>
    <d v="2023-08-07T00:00:00"/>
  </r>
  <r>
    <n v="75833"/>
    <s v="HN871"/>
    <x v="28"/>
    <n v="641.34"/>
    <n v="39"/>
    <n v="25012.26"/>
    <x v="48"/>
    <d v="2024-12-19T00:00:00"/>
  </r>
  <r>
    <n v="46503"/>
    <s v="HN871"/>
    <x v="46"/>
    <n v="346.4"/>
    <n v="39"/>
    <n v="13509.6"/>
    <x v="370"/>
    <d v="2023-11-13T00:00:00"/>
  </r>
  <r>
    <n v="63020"/>
    <s v="MS200"/>
    <x v="13"/>
    <n v="110.41"/>
    <n v="38"/>
    <n v="4195.58"/>
    <x v="371"/>
    <d v="2024-03-23T00:00:00"/>
  </r>
  <r>
    <n v="96140"/>
    <s v="HN871"/>
    <x v="14"/>
    <n v="112.52"/>
    <n v="8"/>
    <n v="900.16"/>
    <x v="282"/>
    <d v="2023-08-06T00:00:00"/>
  </r>
  <r>
    <n v="64636"/>
    <s v="GH786"/>
    <x v="40"/>
    <n v="795.19"/>
    <n v="12"/>
    <n v="9542.2800000000007"/>
    <x v="372"/>
    <d v="2024-02-22T00:00:00"/>
  </r>
  <r>
    <n v="28027"/>
    <s v="OS572"/>
    <x v="46"/>
    <n v="346.4"/>
    <n v="35"/>
    <n v="12124"/>
    <x v="10"/>
    <d v="2024-02-13T00:00:00"/>
  </r>
  <r>
    <n v="31989"/>
    <s v="WD343"/>
    <x v="30"/>
    <n v="988.73"/>
    <n v="5"/>
    <n v="4943.6499999999996"/>
    <x v="347"/>
    <d v="2024-04-30T00:00:00"/>
  </r>
  <r>
    <n v="23526"/>
    <s v="CB356"/>
    <x v="33"/>
    <n v="705.68"/>
    <n v="26"/>
    <n v="18347.68"/>
    <x v="373"/>
    <d v="2024-11-13T00:00:00"/>
  </r>
  <r>
    <n v="33463"/>
    <s v="SV938"/>
    <x v="8"/>
    <n v="596.97"/>
    <n v="46"/>
    <n v="27460.62"/>
    <x v="374"/>
    <d v="2024-06-07T00:00:00"/>
  </r>
  <r>
    <n v="83546"/>
    <s v="HL575"/>
    <x v="43"/>
    <n v="870.6"/>
    <n v="49"/>
    <n v="42659.4"/>
    <x v="375"/>
    <d v="2023-11-12T00:00:00"/>
  </r>
  <r>
    <n v="96843"/>
    <s v="RR309"/>
    <x v="24"/>
    <n v="323.73"/>
    <n v="24"/>
    <n v="7769.52"/>
    <x v="53"/>
    <d v="2023-03-31T00:00:00"/>
  </r>
  <r>
    <n v="71926"/>
    <s v="PL284"/>
    <x v="49"/>
    <n v="761.92"/>
    <n v="31"/>
    <n v="23619.52"/>
    <x v="0"/>
    <d v="2023-11-28T00:00:00"/>
  </r>
  <r>
    <n v="67458"/>
    <s v="CB356"/>
    <x v="6"/>
    <n v="222.47"/>
    <n v="12"/>
    <n v="2669.64"/>
    <x v="93"/>
    <d v="2023-05-13T00:00:00"/>
  </r>
  <r>
    <n v="51883"/>
    <s v="CB356"/>
    <x v="43"/>
    <n v="870.6"/>
    <n v="3"/>
    <n v="2611.8000000000002"/>
    <x v="376"/>
    <d v="2023-04-26T00:00:00"/>
  </r>
  <r>
    <n v="62870"/>
    <s v="CB356"/>
    <x v="3"/>
    <n v="449.74"/>
    <n v="43"/>
    <n v="19338.82"/>
    <x v="377"/>
    <d v="2024-07-25T00:00:00"/>
  </r>
  <r>
    <n v="78806"/>
    <s v="HG412"/>
    <x v="47"/>
    <n v="325"/>
    <n v="19"/>
    <n v="6175"/>
    <x v="323"/>
    <d v="2024-01-13T00:00:00"/>
  </r>
  <r>
    <n v="99307"/>
    <s v="HL575"/>
    <x v="23"/>
    <n v="533.15"/>
    <n v="19"/>
    <n v="10129.85"/>
    <x v="21"/>
    <d v="2023-05-06T00:00:00"/>
  </r>
  <r>
    <n v="21577"/>
    <s v="GH786"/>
    <x v="34"/>
    <n v="474.55"/>
    <n v="25"/>
    <n v="11863.75"/>
    <x v="295"/>
    <d v="2023-04-23T00:00:00"/>
  </r>
  <r>
    <n v="71922"/>
    <s v="WI591"/>
    <x v="40"/>
    <n v="795.19"/>
    <n v="1"/>
    <n v="795.19"/>
    <x v="378"/>
    <d v="2024-01-02T00:00:00"/>
  </r>
  <r>
    <n v="10449"/>
    <s v="OS572"/>
    <x v="21"/>
    <n v="534.77"/>
    <n v="25"/>
    <n v="13369.25"/>
    <x v="189"/>
    <d v="2023-06-16T00:00:00"/>
  </r>
  <r>
    <n v="78598"/>
    <s v="GP381"/>
    <x v="15"/>
    <n v="608.37"/>
    <n v="49"/>
    <n v="29810.13"/>
    <x v="379"/>
    <d v="2024-01-10T00:00:00"/>
  </r>
  <r>
    <n v="18228"/>
    <s v="RR354"/>
    <x v="5"/>
    <n v="622.16"/>
    <n v="10"/>
    <n v="6221.6"/>
    <x v="277"/>
    <d v="2024-07-09T00:00:00"/>
  </r>
  <r>
    <n v="20968"/>
    <s v="GP381"/>
    <x v="22"/>
    <n v="468.95"/>
    <n v="36"/>
    <n v="16882.2"/>
    <x v="380"/>
    <d v="2023-04-01T00:00:00"/>
  </r>
  <r>
    <n v="32933"/>
    <s v="WI591"/>
    <x v="10"/>
    <n v="233.83"/>
    <n v="16"/>
    <n v="3741.28"/>
    <x v="162"/>
    <d v="2024-11-15T00:00:00"/>
  </r>
  <r>
    <n v="80420"/>
    <s v="GP381"/>
    <x v="29"/>
    <n v="404.9"/>
    <n v="32"/>
    <n v="12956.8"/>
    <x v="381"/>
    <d v="2024-01-28T00:00:00"/>
  </r>
  <r>
    <n v="98149"/>
    <s v="PL284"/>
    <x v="20"/>
    <n v="93.68"/>
    <n v="41"/>
    <n v="3840.88"/>
    <x v="82"/>
    <d v="2024-06-28T00:00:00"/>
  </r>
  <r>
    <n v="74914"/>
    <s v="RR309"/>
    <x v="26"/>
    <n v="730.09"/>
    <n v="34"/>
    <n v="24823.06"/>
    <x v="382"/>
    <d v="2024-05-31T00:00:00"/>
  </r>
  <r>
    <n v="68140"/>
    <s v="GH786"/>
    <x v="41"/>
    <n v="158.66999999999999"/>
    <n v="34"/>
    <n v="5394.78"/>
    <x v="383"/>
    <d v="2023-09-27T00:00:00"/>
  </r>
  <r>
    <n v="62151"/>
    <s v="GB310"/>
    <x v="27"/>
    <n v="399.32"/>
    <n v="48"/>
    <n v="19167.36"/>
    <x v="384"/>
    <d v="2023-08-22T00:00:00"/>
  </r>
  <r>
    <n v="35961"/>
    <s v="HG412"/>
    <x v="18"/>
    <n v="617.33000000000004"/>
    <n v="22"/>
    <n v="13581.26"/>
    <x v="285"/>
    <d v="2023-12-11T00:00:00"/>
  </r>
  <r>
    <n v="35469"/>
    <s v="GP381"/>
    <x v="34"/>
    <n v="474.55"/>
    <n v="23"/>
    <n v="10914.65"/>
    <x v="245"/>
    <d v="2024-10-14T00:00:00"/>
  </r>
  <r>
    <n v="65088"/>
    <s v="MT731"/>
    <x v="46"/>
    <n v="346.4"/>
    <n v="40"/>
    <n v="13856"/>
    <x v="358"/>
    <d v="2024-02-11T00:00:00"/>
  </r>
  <r>
    <n v="51864"/>
    <s v="GH786"/>
    <x v="29"/>
    <n v="404.9"/>
    <n v="17"/>
    <n v="6883.3"/>
    <x v="385"/>
    <d v="2024-06-04T00:00:00"/>
  </r>
  <r>
    <n v="16875"/>
    <s v="WD343"/>
    <x v="47"/>
    <n v="325"/>
    <n v="22"/>
    <n v="7150"/>
    <x v="386"/>
    <d v="2024-02-26T00:00:00"/>
  </r>
  <r>
    <n v="17309"/>
    <s v="RR354"/>
    <x v="4"/>
    <n v="546.64"/>
    <n v="35"/>
    <n v="19132.400000000001"/>
    <x v="387"/>
    <d v="2023-09-20T00:00:00"/>
  </r>
  <r>
    <n v="14625"/>
    <s v="FL553"/>
    <x v="6"/>
    <n v="222.47"/>
    <n v="44"/>
    <n v="9788.68"/>
    <x v="388"/>
    <d v="2023-07-25T00:00:00"/>
  </r>
  <r>
    <n v="58892"/>
    <s v="OS572"/>
    <x v="48"/>
    <n v="95.12"/>
    <n v="39"/>
    <n v="3709.68"/>
    <x v="389"/>
    <d v="2023-06-13T00:00:00"/>
  </r>
  <r>
    <n v="18780"/>
    <s v="HL575"/>
    <x v="15"/>
    <n v="608.37"/>
    <n v="50"/>
    <n v="30418.5"/>
    <x v="381"/>
    <d v="2024-05-17T00:00:00"/>
  </r>
  <r>
    <n v="97035"/>
    <s v="GP381"/>
    <x v="31"/>
    <n v="346.37"/>
    <n v="13"/>
    <n v="4502.8100000000004"/>
    <x v="301"/>
    <d v="2024-06-07T00:00:00"/>
  </r>
  <r>
    <n v="22654"/>
    <s v="FL553"/>
    <x v="5"/>
    <n v="622.16"/>
    <n v="6"/>
    <n v="3732.96"/>
    <x v="373"/>
    <d v="2024-11-02T00:00:00"/>
  </r>
  <r>
    <n v="65309"/>
    <s v="WD343"/>
    <x v="46"/>
    <n v="346.4"/>
    <n v="43"/>
    <n v="14895.2"/>
    <x v="68"/>
    <d v="2023-09-11T00:00:00"/>
  </r>
  <r>
    <n v="69121"/>
    <s v="BZ515"/>
    <x v="3"/>
    <n v="449.74"/>
    <n v="4"/>
    <n v="1798.96"/>
    <x v="139"/>
    <d v="2023-11-06T00:00:00"/>
  </r>
  <r>
    <n v="73078"/>
    <s v="BZ515"/>
    <x v="47"/>
    <n v="325"/>
    <n v="17"/>
    <n v="5525"/>
    <x v="244"/>
    <d v="2024-07-18T00:00:00"/>
  </r>
  <r>
    <n v="74790"/>
    <s v="SL727"/>
    <x v="18"/>
    <n v="617.33000000000004"/>
    <n v="35"/>
    <n v="21606.55"/>
    <x v="244"/>
    <d v="2023-07-28T00:00:00"/>
  </r>
  <r>
    <n v="62853"/>
    <s v="GP381"/>
    <x v="17"/>
    <n v="366.3"/>
    <n v="49"/>
    <n v="17948.7"/>
    <x v="74"/>
    <d v="2023-05-04T00:00:00"/>
  </r>
  <r>
    <n v="51956"/>
    <s v="MT731"/>
    <x v="16"/>
    <n v="654.4"/>
    <n v="37"/>
    <n v="24212.799999999999"/>
    <x v="390"/>
    <d v="2023-07-28T00:00:00"/>
  </r>
  <r>
    <n v="98342"/>
    <s v="MT731"/>
    <x v="30"/>
    <n v="988.73"/>
    <n v="39"/>
    <n v="38560.47"/>
    <x v="375"/>
    <d v="2023-12-29T00:00:00"/>
  </r>
  <r>
    <n v="36409"/>
    <s v="SL727"/>
    <x v="23"/>
    <n v="533.15"/>
    <n v="12"/>
    <n v="6397.8"/>
    <x v="128"/>
    <d v="2023-12-16T00:00:00"/>
  </r>
  <r>
    <n v="49913"/>
    <s v="MT731"/>
    <x v="15"/>
    <n v="608.37"/>
    <n v="18"/>
    <n v="10950.66"/>
    <x v="391"/>
    <d v="2023-04-28T00:00:00"/>
  </r>
  <r>
    <n v="77108"/>
    <s v="GB310"/>
    <x v="31"/>
    <n v="346.37"/>
    <n v="12"/>
    <n v="4156.4399999999996"/>
    <x v="82"/>
    <d v="2023-07-02T00:00:00"/>
  </r>
  <r>
    <n v="24518"/>
    <s v="MT731"/>
    <x v="39"/>
    <n v="402.36"/>
    <n v="1"/>
    <n v="402.36"/>
    <x v="100"/>
    <d v="2024-11-22T00:00:00"/>
  </r>
  <r>
    <n v="10648"/>
    <s v="WD343"/>
    <x v="38"/>
    <n v="45.72"/>
    <n v="45"/>
    <n v="2057.4"/>
    <x v="392"/>
    <d v="2023-09-03T00:00:00"/>
  </r>
  <r>
    <n v="98637"/>
    <s v="WD343"/>
    <x v="43"/>
    <n v="870.6"/>
    <n v="23"/>
    <n v="20023.8"/>
    <x v="55"/>
    <d v="2024-03-08T00:00:00"/>
  </r>
  <r>
    <n v="24376"/>
    <s v="HN871"/>
    <x v="5"/>
    <n v="622.16"/>
    <n v="7"/>
    <n v="4355.12"/>
    <x v="308"/>
    <d v="2023-10-23T00:00:00"/>
  </r>
  <r>
    <n v="13757"/>
    <s v="SL727"/>
    <x v="8"/>
    <n v="596.97"/>
    <n v="35"/>
    <n v="20893.95"/>
    <x v="53"/>
    <d v="2024-06-27T00:00:00"/>
  </r>
  <r>
    <n v="11699"/>
    <s v="HG412"/>
    <x v="23"/>
    <n v="533.15"/>
    <n v="21"/>
    <n v="11196.15"/>
    <x v="393"/>
    <d v="2023-10-04T00:00:00"/>
  </r>
  <r>
    <n v="16451"/>
    <s v="HG412"/>
    <x v="11"/>
    <n v="988.47"/>
    <n v="16"/>
    <n v="15815.52"/>
    <x v="91"/>
    <d v="2024-02-08T00:00:00"/>
  </r>
  <r>
    <n v="76599"/>
    <s v="MS200"/>
    <x v="27"/>
    <n v="399.32"/>
    <n v="32"/>
    <n v="12778.24"/>
    <x v="199"/>
    <d v="2023-09-01T00:00:00"/>
  </r>
  <r>
    <n v="79233"/>
    <s v="HG412"/>
    <x v="3"/>
    <n v="449.74"/>
    <n v="4"/>
    <n v="1798.96"/>
    <x v="84"/>
    <d v="2024-08-29T00:00:00"/>
  </r>
  <r>
    <n v="63000"/>
    <s v="GP381"/>
    <x v="13"/>
    <n v="110.41"/>
    <n v="42"/>
    <n v="4637.22"/>
    <x v="394"/>
    <d v="2023-10-05T00:00:00"/>
  </r>
  <r>
    <n v="88691"/>
    <s v="SL727"/>
    <x v="17"/>
    <n v="366.3"/>
    <n v="1"/>
    <n v="366.3"/>
    <x v="234"/>
    <d v="2024-02-14T00:00:00"/>
  </r>
  <r>
    <n v="41989"/>
    <s v="RR354"/>
    <x v="41"/>
    <n v="158.66999999999999"/>
    <n v="2"/>
    <n v="317.33999999999997"/>
    <x v="395"/>
    <d v="2024-04-26T00:00:00"/>
  </r>
  <r>
    <n v="12483"/>
    <s v="HG412"/>
    <x v="14"/>
    <n v="112.52"/>
    <n v="19"/>
    <n v="2137.88"/>
    <x v="396"/>
    <d v="2024-02-06T00:00:00"/>
  </r>
  <r>
    <n v="29894"/>
    <s v="SL727"/>
    <x v="26"/>
    <n v="730.09"/>
    <n v="25"/>
    <n v="18252.25"/>
    <x v="397"/>
    <d v="2024-10-05T00:00:00"/>
  </r>
  <r>
    <n v="57631"/>
    <s v="GH786"/>
    <x v="35"/>
    <n v="611.66"/>
    <n v="15"/>
    <n v="9174.9"/>
    <x v="296"/>
    <d v="2024-01-24T00:00:00"/>
  </r>
  <r>
    <n v="12359"/>
    <s v="GH786"/>
    <x v="1"/>
    <n v="683.98"/>
    <n v="37"/>
    <n v="25307.26"/>
    <x v="33"/>
    <d v="2023-03-18T00:00:00"/>
  </r>
  <r>
    <n v="41479"/>
    <s v="RR309"/>
    <x v="21"/>
    <n v="534.77"/>
    <n v="43"/>
    <n v="22995.11"/>
    <x v="374"/>
    <d v="2024-05-21T00:00:00"/>
  </r>
  <r>
    <n v="84060"/>
    <s v="GB310"/>
    <x v="19"/>
    <n v="682.74"/>
    <n v="27"/>
    <n v="18433.98"/>
    <x v="246"/>
    <d v="2023-02-20T00:00:00"/>
  </r>
  <r>
    <n v="30624"/>
    <s v="GP381"/>
    <x v="22"/>
    <n v="468.95"/>
    <n v="40"/>
    <n v="18758"/>
    <x v="398"/>
    <d v="2023-07-22T00:00:00"/>
  </r>
  <r>
    <n v="18504"/>
    <s v="WD343"/>
    <x v="44"/>
    <n v="913.18"/>
    <n v="3"/>
    <n v="2739.54"/>
    <x v="3"/>
    <d v="2023-08-31T00:00:00"/>
  </r>
  <r>
    <n v="38680"/>
    <s v="OS572"/>
    <x v="6"/>
    <n v="222.47"/>
    <n v="17"/>
    <n v="3781.99"/>
    <x v="399"/>
    <d v="2023-09-18T00:00:00"/>
  </r>
  <r>
    <n v="98401"/>
    <s v="RR354"/>
    <x v="3"/>
    <n v="449.74"/>
    <n v="48"/>
    <n v="21587.52"/>
    <x v="400"/>
    <d v="2024-09-27T00:00:00"/>
  </r>
  <r>
    <n v="64022"/>
    <s v="BZ515"/>
    <x v="39"/>
    <n v="402.36"/>
    <n v="13"/>
    <n v="5230.68"/>
    <x v="78"/>
    <d v="2023-11-15T00:00:00"/>
  </r>
  <r>
    <n v="41586"/>
    <s v="CB356"/>
    <x v="34"/>
    <n v="474.55"/>
    <n v="30"/>
    <n v="14236.5"/>
    <x v="243"/>
    <d v="2024-01-13T00:00:00"/>
  </r>
  <r>
    <n v="10173"/>
    <s v="RR309"/>
    <x v="49"/>
    <n v="761.92"/>
    <n v="13"/>
    <n v="9904.9599999999991"/>
    <x v="388"/>
    <d v="2023-06-01T00:00:00"/>
  </r>
  <r>
    <n v="96389"/>
    <s v="MT731"/>
    <x v="38"/>
    <n v="45.72"/>
    <n v="49"/>
    <n v="2240.2800000000002"/>
    <x v="113"/>
    <d v="2024-07-16T00:00:00"/>
  </r>
  <r>
    <n v="10730"/>
    <s v="CB356"/>
    <x v="0"/>
    <n v="855.99"/>
    <n v="11"/>
    <n v="9415.89"/>
    <x v="401"/>
    <d v="2024-04-10T00:00:00"/>
  </r>
  <r>
    <n v="92176"/>
    <s v="FL553"/>
    <x v="31"/>
    <n v="346.37"/>
    <n v="49"/>
    <n v="16972.13"/>
    <x v="5"/>
    <d v="2024-02-13T00:00:00"/>
  </r>
  <r>
    <n v="92600"/>
    <s v="PL284"/>
    <x v="47"/>
    <n v="325"/>
    <n v="41"/>
    <n v="13325"/>
    <x v="60"/>
    <d v="2023-11-18T00:00:00"/>
  </r>
  <r>
    <n v="93520"/>
    <s v="RR354"/>
    <x v="25"/>
    <n v="972.24"/>
    <n v="24"/>
    <n v="23333.759999999998"/>
    <x v="9"/>
    <d v="2023-05-25T00:00:00"/>
  </r>
  <r>
    <n v="56052"/>
    <s v="GP381"/>
    <x v="2"/>
    <n v="68.05"/>
    <n v="14"/>
    <n v="952.7"/>
    <x v="384"/>
    <d v="2024-07-03T00:00:00"/>
  </r>
  <r>
    <n v="37267"/>
    <s v="MS200"/>
    <x v="9"/>
    <n v="796.94"/>
    <n v="19"/>
    <n v="15141.86"/>
    <x v="402"/>
    <d v="2023-06-18T00:00:00"/>
  </r>
  <r>
    <n v="29056"/>
    <s v="BL462"/>
    <x v="2"/>
    <n v="68.05"/>
    <n v="40"/>
    <n v="2722"/>
    <x v="238"/>
    <d v="2023-06-02T00:00:00"/>
  </r>
  <r>
    <n v="35567"/>
    <s v="HG412"/>
    <x v="39"/>
    <n v="402.36"/>
    <n v="15"/>
    <n v="6035.4"/>
    <x v="176"/>
    <d v="2023-08-18T00:00:00"/>
  </r>
  <r>
    <n v="62210"/>
    <s v="SV938"/>
    <x v="2"/>
    <n v="68.05"/>
    <n v="16"/>
    <n v="1088.8"/>
    <x v="194"/>
    <d v="2023-03-11T00:00:00"/>
  </r>
  <r>
    <n v="58446"/>
    <s v="PL284"/>
    <x v="16"/>
    <n v="654.4"/>
    <n v="7"/>
    <n v="4580.8"/>
    <x v="280"/>
    <d v="2024-02-05T00:00:00"/>
  </r>
  <r>
    <n v="69502"/>
    <s v="MS200"/>
    <x v="10"/>
    <n v="233.83"/>
    <n v="4"/>
    <n v="935.32"/>
    <x v="248"/>
    <d v="2024-05-12T00:00:00"/>
  </r>
  <r>
    <n v="36132"/>
    <s v="FL553"/>
    <x v="22"/>
    <n v="468.95"/>
    <n v="21"/>
    <n v="9847.9500000000007"/>
    <x v="403"/>
    <d v="2024-01-19T00:00:00"/>
  </r>
  <r>
    <n v="14456"/>
    <s v="MS200"/>
    <x v="7"/>
    <n v="101.12"/>
    <n v="16"/>
    <n v="1617.92"/>
    <x v="404"/>
    <d v="2024-11-29T00:00:00"/>
  </r>
  <r>
    <n v="73470"/>
    <s v="RR354"/>
    <x v="40"/>
    <n v="795.19"/>
    <n v="6"/>
    <n v="4771.1400000000003"/>
    <x v="288"/>
    <d v="2023-04-22T00:00:00"/>
  </r>
  <r>
    <n v="79615"/>
    <s v="MS200"/>
    <x v="28"/>
    <n v="641.34"/>
    <n v="11"/>
    <n v="7054.74"/>
    <x v="186"/>
    <d v="2023-09-21T00:00:00"/>
  </r>
  <r>
    <n v="89557"/>
    <s v="HL575"/>
    <x v="30"/>
    <n v="988.73"/>
    <n v="7"/>
    <n v="6921.11"/>
    <x v="405"/>
    <d v="2024-01-13T00:00:00"/>
  </r>
  <r>
    <n v="19883"/>
    <s v="GB310"/>
    <x v="46"/>
    <n v="346.4"/>
    <n v="37"/>
    <n v="12816.8"/>
    <x v="99"/>
    <d v="2024-12-29T00:00:00"/>
  </r>
  <r>
    <n v="17751"/>
    <s v="RR309"/>
    <x v="16"/>
    <n v="654.4"/>
    <n v="29"/>
    <n v="18977.599999999999"/>
    <x v="299"/>
    <d v="2023-02-09T00:00:00"/>
  </r>
  <r>
    <n v="31326"/>
    <s v="BL462"/>
    <x v="38"/>
    <n v="45.72"/>
    <n v="48"/>
    <n v="2194.56"/>
    <x v="129"/>
    <d v="2024-01-12T00:00:00"/>
  </r>
  <r>
    <n v="37746"/>
    <s v="GP381"/>
    <x v="48"/>
    <n v="95.12"/>
    <n v="16"/>
    <n v="1521.92"/>
    <x v="324"/>
    <d v="2023-10-03T00:00:00"/>
  </r>
  <r>
    <n v="59739"/>
    <s v="BZ515"/>
    <x v="34"/>
    <n v="474.55"/>
    <n v="21"/>
    <n v="9965.5499999999993"/>
    <x v="189"/>
    <d v="2024-01-20T00:00:00"/>
  </r>
  <r>
    <n v="63075"/>
    <s v="OS572"/>
    <x v="47"/>
    <n v="325"/>
    <n v="35"/>
    <n v="11375"/>
    <x v="376"/>
    <d v="2024-06-03T00:00:00"/>
  </r>
  <r>
    <n v="31392"/>
    <s v="GP381"/>
    <x v="5"/>
    <n v="622.16"/>
    <n v="38"/>
    <n v="23642.080000000002"/>
    <x v="42"/>
    <d v="2024-07-24T00:00:00"/>
  </r>
  <r>
    <n v="55213"/>
    <s v="SV938"/>
    <x v="2"/>
    <n v="68.05"/>
    <n v="36"/>
    <n v="2449.8000000000002"/>
    <x v="254"/>
    <d v="2024-06-16T00:00:00"/>
  </r>
  <r>
    <n v="88648"/>
    <s v="GB310"/>
    <x v="22"/>
    <n v="468.95"/>
    <n v="39"/>
    <n v="18289.05"/>
    <x v="227"/>
    <d v="2023-05-17T00:00:00"/>
  </r>
  <r>
    <n v="35976"/>
    <s v="GB310"/>
    <x v="15"/>
    <n v="608.37"/>
    <n v="7"/>
    <n v="4258.59"/>
    <x v="406"/>
    <d v="2023-02-04T00:00:00"/>
  </r>
  <r>
    <n v="69146"/>
    <s v="RR309"/>
    <x v="21"/>
    <n v="534.77"/>
    <n v="5"/>
    <n v="2673.85"/>
    <x v="407"/>
    <d v="2024-06-14T00:00:00"/>
  </r>
  <r>
    <n v="12370"/>
    <s v="BZ515"/>
    <x v="5"/>
    <n v="622.16"/>
    <n v="16"/>
    <n v="9954.56"/>
    <x v="255"/>
    <d v="2024-01-19T00:00:00"/>
  </r>
  <r>
    <n v="11481"/>
    <s v="RR354"/>
    <x v="0"/>
    <n v="855.99"/>
    <n v="17"/>
    <n v="14551.83"/>
    <x v="230"/>
    <d v="2024-02-08T00:00:00"/>
  </r>
  <r>
    <n v="68090"/>
    <s v="WI591"/>
    <x v="16"/>
    <n v="654.4"/>
    <n v="17"/>
    <n v="11124.8"/>
    <x v="117"/>
    <d v="2024-07-05T00:00:00"/>
  </r>
  <r>
    <n v="45663"/>
    <s v="GB310"/>
    <x v="41"/>
    <n v="158.66999999999999"/>
    <n v="4"/>
    <n v="634.67999999999995"/>
    <x v="408"/>
    <d v="2023-11-02T00:00:00"/>
  </r>
  <r>
    <n v="77691"/>
    <s v="RR354"/>
    <x v="12"/>
    <n v="875.47"/>
    <n v="46"/>
    <n v="40271.620000000003"/>
    <x v="350"/>
    <d v="2023-07-09T00:00:00"/>
  </r>
  <r>
    <n v="65922"/>
    <s v="BZ515"/>
    <x v="2"/>
    <n v="68.05"/>
    <n v="19"/>
    <n v="1292.95"/>
    <x v="409"/>
    <d v="2024-12-10T00:00:00"/>
  </r>
  <r>
    <n v="75782"/>
    <s v="FL553"/>
    <x v="18"/>
    <n v="617.33000000000004"/>
    <n v="23"/>
    <n v="14198.59"/>
    <x v="251"/>
    <d v="2024-07-09T00:00:00"/>
  </r>
  <r>
    <n v="19084"/>
    <s v="HN871"/>
    <x v="14"/>
    <n v="112.52"/>
    <n v="49"/>
    <n v="5513.48"/>
    <x v="198"/>
    <d v="2024-06-19T00:00:00"/>
  </r>
  <r>
    <n v="46593"/>
    <s v="RR309"/>
    <x v="23"/>
    <n v="533.15"/>
    <n v="35"/>
    <n v="18660.25"/>
    <x v="253"/>
    <d v="2023-03-17T00:00:00"/>
  </r>
  <r>
    <n v="47976"/>
    <s v="OS572"/>
    <x v="39"/>
    <n v="402.36"/>
    <n v="5"/>
    <n v="2011.8"/>
    <x v="410"/>
    <d v="2024-12-21T00:00:00"/>
  </r>
  <r>
    <n v="82291"/>
    <s v="RR354"/>
    <x v="28"/>
    <n v="641.34"/>
    <n v="20"/>
    <n v="12826.8"/>
    <x v="350"/>
    <d v="2023-02-17T00:00:00"/>
  </r>
  <r>
    <n v="21347"/>
    <s v="WI591"/>
    <x v="29"/>
    <n v="404.9"/>
    <n v="37"/>
    <n v="14981.3"/>
    <x v="411"/>
    <d v="2024-07-15T00:00:00"/>
  </r>
  <r>
    <n v="43786"/>
    <s v="RR309"/>
    <x v="2"/>
    <n v="68.05"/>
    <n v="32"/>
    <n v="2177.6"/>
    <x v="412"/>
    <d v="2024-04-30T00:00:00"/>
  </r>
  <r>
    <n v="47246"/>
    <s v="SV938"/>
    <x v="27"/>
    <n v="399.32"/>
    <n v="50"/>
    <n v="19966"/>
    <x v="413"/>
    <d v="2023-04-11T00:00:00"/>
  </r>
  <r>
    <n v="33207"/>
    <s v="OS572"/>
    <x v="6"/>
    <n v="222.47"/>
    <n v="10"/>
    <n v="2224.6999999999998"/>
    <x v="162"/>
    <d v="2023-03-18T00:00:00"/>
  </r>
  <r>
    <n v="48355"/>
    <s v="MT731"/>
    <x v="10"/>
    <n v="233.83"/>
    <n v="44"/>
    <n v="10288.52"/>
    <x v="118"/>
    <d v="2023-08-13T00:00:00"/>
  </r>
  <r>
    <n v="20335"/>
    <s v="RR309"/>
    <x v="45"/>
    <n v="890.84"/>
    <n v="27"/>
    <n v="24052.68"/>
    <x v="199"/>
    <d v="2024-04-26T00:00:00"/>
  </r>
  <r>
    <n v="81937"/>
    <s v="RR309"/>
    <x v="37"/>
    <n v="753.12"/>
    <n v="23"/>
    <n v="17321.759999999998"/>
    <x v="79"/>
    <d v="2023-03-27T00:00:00"/>
  </r>
  <r>
    <n v="40612"/>
    <s v="HL575"/>
    <x v="25"/>
    <n v="972.24"/>
    <n v="30"/>
    <n v="29167.200000000001"/>
    <x v="360"/>
    <d v="2024-12-22T00:00:00"/>
  </r>
  <r>
    <n v="70060"/>
    <s v="RR354"/>
    <x v="29"/>
    <n v="404.9"/>
    <n v="39"/>
    <n v="15791.1"/>
    <x v="153"/>
    <d v="2023-07-14T00:00:00"/>
  </r>
  <r>
    <n v="30901"/>
    <s v="WD343"/>
    <x v="49"/>
    <n v="761.92"/>
    <n v="40"/>
    <n v="30476.799999999999"/>
    <x v="306"/>
    <d v="2023-10-10T00:00:00"/>
  </r>
  <r>
    <n v="99355"/>
    <s v="FL553"/>
    <x v="23"/>
    <n v="533.15"/>
    <n v="27"/>
    <n v="14395.05"/>
    <x v="342"/>
    <d v="2024-12-27T00:00:00"/>
  </r>
  <r>
    <n v="15042"/>
    <s v="BZ515"/>
    <x v="45"/>
    <n v="890.84"/>
    <n v="3"/>
    <n v="2672.52"/>
    <x v="57"/>
    <d v="2023-07-10T00:00:00"/>
  </r>
  <r>
    <n v="83870"/>
    <s v="PL284"/>
    <x v="2"/>
    <n v="68.05"/>
    <n v="38"/>
    <n v="2585.9"/>
    <x v="222"/>
    <d v="2023-08-06T00:00:00"/>
  </r>
  <r>
    <n v="26689"/>
    <s v="SL727"/>
    <x v="44"/>
    <n v="913.18"/>
    <n v="7"/>
    <n v="6392.26"/>
    <x v="414"/>
    <d v="2024-09-22T00:00:00"/>
  </r>
  <r>
    <n v="48494"/>
    <s v="MS200"/>
    <x v="21"/>
    <n v="534.77"/>
    <n v="37"/>
    <n v="19786.490000000002"/>
    <x v="415"/>
    <d v="2023-09-07T00:00:00"/>
  </r>
  <r>
    <n v="46602"/>
    <s v="MT731"/>
    <x v="38"/>
    <n v="45.72"/>
    <n v="19"/>
    <n v="868.68"/>
    <x v="416"/>
    <d v="2024-09-22T00:00:00"/>
  </r>
  <r>
    <n v="30025"/>
    <s v="RR354"/>
    <x v="39"/>
    <n v="402.36"/>
    <n v="17"/>
    <n v="6840.12"/>
    <x v="55"/>
    <d v="2024-02-12T00:00:00"/>
  </r>
  <r>
    <n v="88946"/>
    <s v="GH786"/>
    <x v="37"/>
    <n v="753.12"/>
    <n v="33"/>
    <n v="24852.959999999999"/>
    <x v="281"/>
    <d v="2023-12-15T00:00:00"/>
  </r>
  <r>
    <n v="77195"/>
    <s v="OS572"/>
    <x v="30"/>
    <n v="988.73"/>
    <n v="43"/>
    <n v="42515.39"/>
    <x v="287"/>
    <d v="2024-06-23T00:00:00"/>
  </r>
  <r>
    <n v="98351"/>
    <s v="GP381"/>
    <x v="6"/>
    <n v="222.47"/>
    <n v="13"/>
    <n v="2892.11"/>
    <x v="417"/>
    <d v="2023-02-02T00:00:00"/>
  </r>
  <r>
    <n v="54045"/>
    <s v="OS572"/>
    <x v="10"/>
    <n v="233.83"/>
    <n v="29"/>
    <n v="6781.07"/>
    <x v="408"/>
    <d v="2024-01-28T00:00:00"/>
  </r>
  <r>
    <n v="65808"/>
    <s v="RR354"/>
    <x v="6"/>
    <n v="222.47"/>
    <n v="29"/>
    <n v="6451.63"/>
    <x v="418"/>
    <d v="2024-07-21T00:00:00"/>
  </r>
  <r>
    <n v="84286"/>
    <s v="WI591"/>
    <x v="41"/>
    <n v="158.66999999999999"/>
    <n v="3"/>
    <n v="476.01"/>
    <x v="133"/>
    <d v="2024-06-27T00:00:00"/>
  </r>
  <r>
    <n v="15068"/>
    <s v="RR354"/>
    <x v="3"/>
    <n v="449.74"/>
    <n v="44"/>
    <n v="19788.560000000001"/>
    <x v="318"/>
    <d v="2023-10-22T00:00:00"/>
  </r>
  <r>
    <n v="19121"/>
    <s v="BZ515"/>
    <x v="44"/>
    <n v="913.18"/>
    <n v="8"/>
    <n v="7305.44"/>
    <x v="402"/>
    <d v="2024-06-18T00:00:00"/>
  </r>
  <r>
    <n v="59405"/>
    <s v="MS200"/>
    <x v="11"/>
    <n v="988.47"/>
    <n v="24"/>
    <n v="23723.279999999999"/>
    <x v="419"/>
    <d v="2024-05-15T00:00:00"/>
  </r>
  <r>
    <n v="21030"/>
    <s v="RR354"/>
    <x v="1"/>
    <n v="683.98"/>
    <n v="22"/>
    <n v="15047.56"/>
    <x v="232"/>
    <d v="2023-01-21T00:00:00"/>
  </r>
  <r>
    <n v="49352"/>
    <s v="SV938"/>
    <x v="40"/>
    <n v="795.19"/>
    <n v="2"/>
    <n v="1590.38"/>
    <x v="353"/>
    <d v="2024-10-03T00:00:00"/>
  </r>
  <r>
    <n v="41287"/>
    <s v="PL284"/>
    <x v="49"/>
    <n v="761.92"/>
    <n v="11"/>
    <n v="8381.1200000000008"/>
    <x v="286"/>
    <d v="2024-06-12T00:00:00"/>
  </r>
  <r>
    <n v="64024"/>
    <s v="WI591"/>
    <x v="0"/>
    <n v="855.99"/>
    <n v="45"/>
    <n v="38519.550000000003"/>
    <x v="201"/>
    <d v="2023-05-13T00:00:00"/>
  </r>
  <r>
    <n v="22739"/>
    <s v="SL727"/>
    <x v="15"/>
    <n v="608.37"/>
    <n v="34"/>
    <n v="20684.580000000002"/>
    <x v="420"/>
    <d v="2024-08-31T00:00:00"/>
  </r>
  <r>
    <n v="92187"/>
    <s v="BL462"/>
    <x v="35"/>
    <n v="611.66"/>
    <n v="47"/>
    <n v="28748.02"/>
    <x v="310"/>
    <d v="2024-12-03T00:00:00"/>
  </r>
  <r>
    <n v="29811"/>
    <s v="GB310"/>
    <x v="24"/>
    <n v="323.73"/>
    <n v="40"/>
    <n v="12949.2"/>
    <x v="302"/>
    <d v="2023-06-24T00:00:00"/>
  </r>
  <r>
    <n v="62850"/>
    <s v="HN871"/>
    <x v="10"/>
    <n v="233.83"/>
    <n v="9"/>
    <n v="2104.4699999999998"/>
    <x v="210"/>
    <d v="2023-02-16T00:00:00"/>
  </r>
  <r>
    <n v="51702"/>
    <s v="MT731"/>
    <x v="15"/>
    <n v="608.37"/>
    <n v="11"/>
    <n v="6692.07"/>
    <x v="421"/>
    <d v="2023-07-15T00:00:00"/>
  </r>
  <r>
    <n v="74350"/>
    <s v="HG412"/>
    <x v="24"/>
    <n v="323.73"/>
    <n v="23"/>
    <n v="7445.79"/>
    <x v="422"/>
    <d v="2024-06-13T00:00:00"/>
  </r>
  <r>
    <n v="70806"/>
    <s v="WI591"/>
    <x v="5"/>
    <n v="622.16"/>
    <n v="44"/>
    <n v="27375.040000000001"/>
    <x v="155"/>
    <d v="2023-12-02T00:00:00"/>
  </r>
  <r>
    <n v="20114"/>
    <s v="BL462"/>
    <x v="22"/>
    <n v="468.95"/>
    <n v="18"/>
    <n v="8441.1"/>
    <x v="72"/>
    <d v="2024-01-03T00:00:00"/>
  </r>
  <r>
    <n v="13617"/>
    <s v="PL284"/>
    <x v="31"/>
    <n v="346.37"/>
    <n v="13"/>
    <n v="4502.8100000000004"/>
    <x v="145"/>
    <d v="2024-03-30T00:00:00"/>
  </r>
  <r>
    <n v="58180"/>
    <s v="BZ515"/>
    <x v="4"/>
    <n v="546.64"/>
    <n v="27"/>
    <n v="14759.28"/>
    <x v="423"/>
    <d v="2024-02-22T00:00:00"/>
  </r>
  <r>
    <n v="58942"/>
    <s v="SV938"/>
    <x v="16"/>
    <n v="654.4"/>
    <n v="8"/>
    <n v="5235.2"/>
    <x v="63"/>
    <d v="2023-06-27T00:00:00"/>
  </r>
  <r>
    <n v="20372"/>
    <s v="WD343"/>
    <x v="11"/>
    <n v="988.47"/>
    <n v="29"/>
    <n v="28665.63"/>
    <x v="395"/>
    <d v="2024-02-15T00:00:00"/>
  </r>
  <r>
    <n v="27339"/>
    <s v="HN871"/>
    <x v="19"/>
    <n v="682.74"/>
    <n v="22"/>
    <n v="15020.28"/>
    <x v="424"/>
    <d v="2024-01-24T00:00:00"/>
  </r>
  <r>
    <n v="33745"/>
    <s v="PL284"/>
    <x v="17"/>
    <n v="366.3"/>
    <n v="30"/>
    <n v="10989"/>
    <x v="96"/>
    <d v="2024-11-27T00:00:00"/>
  </r>
  <r>
    <n v="58350"/>
    <s v="RR309"/>
    <x v="2"/>
    <n v="68.05"/>
    <n v="28"/>
    <n v="1905.4"/>
    <x v="425"/>
    <d v="2023-08-26T00:00:00"/>
  </r>
  <r>
    <n v="96331"/>
    <s v="GB310"/>
    <x v="43"/>
    <n v="870.6"/>
    <n v="31"/>
    <n v="26988.6"/>
    <x v="426"/>
    <d v="2023-04-08T00:00:00"/>
  </r>
  <r>
    <n v="49065"/>
    <s v="WI591"/>
    <x v="48"/>
    <n v="95.12"/>
    <n v="17"/>
    <n v="1617.04"/>
    <x v="427"/>
    <d v="2024-01-13T00:00:00"/>
  </r>
  <r>
    <n v="45773"/>
    <s v="SL727"/>
    <x v="15"/>
    <n v="608.37"/>
    <n v="36"/>
    <n v="21901.32"/>
    <x v="414"/>
    <d v="2023-11-06T00:00:00"/>
  </r>
  <r>
    <n v="81667"/>
    <s v="BZ515"/>
    <x v="21"/>
    <n v="534.77"/>
    <n v="27"/>
    <n v="14438.79"/>
    <x v="428"/>
    <d v="2024-01-30T00:00:00"/>
  </r>
  <r>
    <n v="53978"/>
    <s v="HL575"/>
    <x v="8"/>
    <n v="596.97"/>
    <n v="18"/>
    <n v="10745.46"/>
    <x v="379"/>
    <d v="2024-07-24T00:00:00"/>
  </r>
  <r>
    <n v="32418"/>
    <s v="BL462"/>
    <x v="8"/>
    <n v="596.97"/>
    <n v="42"/>
    <n v="25072.74"/>
    <x v="429"/>
    <d v="2024-07-13T00:00:00"/>
  </r>
  <r>
    <n v="40043"/>
    <s v="HL575"/>
    <x v="32"/>
    <n v="184.57"/>
    <n v="48"/>
    <n v="8859.36"/>
    <x v="430"/>
    <d v="2024-10-12T00:00:00"/>
  </r>
  <r>
    <n v="94719"/>
    <s v="RR309"/>
    <x v="24"/>
    <n v="323.73"/>
    <n v="11"/>
    <n v="3561.03"/>
    <x v="281"/>
    <d v="2023-10-03T00:00:00"/>
  </r>
  <r>
    <n v="56906"/>
    <s v="HL575"/>
    <x v="24"/>
    <n v="323.73"/>
    <n v="12"/>
    <n v="3884.76"/>
    <x v="172"/>
    <d v="2024-01-03T00:00:00"/>
  </r>
  <r>
    <n v="45322"/>
    <s v="GH786"/>
    <x v="1"/>
    <n v="683.98"/>
    <n v="20"/>
    <n v="13679.6"/>
    <x v="417"/>
    <d v="2023-11-14T00:00:00"/>
  </r>
  <r>
    <n v="97959"/>
    <s v="BZ515"/>
    <x v="43"/>
    <n v="870.6"/>
    <n v="18"/>
    <n v="15670.8"/>
    <x v="7"/>
    <d v="2023-08-18T00:00:00"/>
  </r>
  <r>
    <n v="78096"/>
    <s v="OS572"/>
    <x v="8"/>
    <n v="596.97"/>
    <n v="34"/>
    <n v="20296.98"/>
    <x v="132"/>
    <d v="2023-09-08T00:00:00"/>
  </r>
  <r>
    <n v="65753"/>
    <s v="GP381"/>
    <x v="21"/>
    <n v="534.77"/>
    <n v="43"/>
    <n v="22995.11"/>
    <x v="291"/>
    <d v="2023-08-14T00:00:00"/>
  </r>
  <r>
    <n v="35064"/>
    <s v="GH786"/>
    <x v="42"/>
    <n v="430.1"/>
    <n v="4"/>
    <n v="1720.4"/>
    <x v="159"/>
    <d v="2024-07-24T00:00:00"/>
  </r>
  <r>
    <n v="73638"/>
    <s v="GB310"/>
    <x v="47"/>
    <n v="325"/>
    <n v="10"/>
    <n v="3250"/>
    <x v="251"/>
    <d v="2023-09-01T00:00:00"/>
  </r>
  <r>
    <n v="39629"/>
    <s v="FL553"/>
    <x v="10"/>
    <n v="233.83"/>
    <n v="44"/>
    <n v="10288.52"/>
    <x v="216"/>
    <d v="2023-09-28T00:00:00"/>
  </r>
  <r>
    <n v="84337"/>
    <s v="HG412"/>
    <x v="39"/>
    <n v="402.36"/>
    <n v="24"/>
    <n v="9656.64"/>
    <x v="431"/>
    <d v="2023-02-15T00:00:00"/>
  </r>
  <r>
    <n v="34854"/>
    <s v="GH786"/>
    <x v="22"/>
    <n v="468.95"/>
    <n v="4"/>
    <n v="1875.8"/>
    <x v="327"/>
    <d v="2023-05-09T00:00:00"/>
  </r>
  <r>
    <n v="73411"/>
    <s v="GH786"/>
    <x v="46"/>
    <n v="346.4"/>
    <n v="32"/>
    <n v="11084.8"/>
    <x v="2"/>
    <d v="2023-12-17T00:00:00"/>
  </r>
  <r>
    <n v="92046"/>
    <s v="HN871"/>
    <x v="34"/>
    <n v="474.55"/>
    <n v="17"/>
    <n v="8067.35"/>
    <x v="432"/>
    <d v="2024-11-01T00:00:00"/>
  </r>
  <r>
    <n v="82902"/>
    <s v="HL575"/>
    <x v="8"/>
    <n v="596.97"/>
    <n v="44"/>
    <n v="26266.68"/>
    <x v="433"/>
    <d v="2023-12-27T00:00:00"/>
  </r>
  <r>
    <n v="90994"/>
    <s v="FL553"/>
    <x v="42"/>
    <n v="430.1"/>
    <n v="29"/>
    <n v="12472.9"/>
    <x v="310"/>
    <d v="2024-08-23T00:00:00"/>
  </r>
  <r>
    <n v="93148"/>
    <s v="RR309"/>
    <x v="39"/>
    <n v="402.36"/>
    <n v="33"/>
    <n v="13277.88"/>
    <x v="434"/>
    <d v="2024-03-15T00:00:00"/>
  </r>
  <r>
    <n v="73554"/>
    <s v="RR354"/>
    <x v="26"/>
    <n v="730.09"/>
    <n v="32"/>
    <n v="23362.880000000001"/>
    <x v="319"/>
    <d v="2024-01-04T00:00:00"/>
  </r>
  <r>
    <n v="19720"/>
    <s v="SL727"/>
    <x v="45"/>
    <n v="890.84"/>
    <n v="29"/>
    <n v="25834.36"/>
    <x v="21"/>
    <d v="2023-04-07T00:00:00"/>
  </r>
  <r>
    <n v="45133"/>
    <s v="FL553"/>
    <x v="37"/>
    <n v="753.12"/>
    <n v="36"/>
    <n v="27112.32"/>
    <x v="435"/>
    <d v="2023-04-27T00:00:00"/>
  </r>
  <r>
    <n v="33662"/>
    <s v="SV938"/>
    <x v="1"/>
    <n v="683.98"/>
    <n v="37"/>
    <n v="25307.26"/>
    <x v="406"/>
    <d v="2023-05-18T00:00:00"/>
  </r>
  <r>
    <n v="31822"/>
    <s v="WD343"/>
    <x v="42"/>
    <n v="430.1"/>
    <n v="19"/>
    <n v="8171.9"/>
    <x v="114"/>
    <d v="2023-11-15T00:00:00"/>
  </r>
  <r>
    <n v="93866"/>
    <s v="MS200"/>
    <x v="23"/>
    <n v="533.15"/>
    <n v="32"/>
    <n v="17060.8"/>
    <x v="436"/>
    <d v="2024-01-06T00:00:00"/>
  </r>
  <r>
    <n v="23817"/>
    <s v="HG412"/>
    <x v="39"/>
    <n v="402.36"/>
    <n v="35"/>
    <n v="14082.6"/>
    <x v="264"/>
    <d v="2024-08-29T00:00:00"/>
  </r>
  <r>
    <n v="36255"/>
    <s v="BZ515"/>
    <x v="13"/>
    <n v="110.41"/>
    <n v="21"/>
    <n v="2318.61"/>
    <x v="437"/>
    <d v="2023-01-24T00:00:00"/>
  </r>
  <r>
    <n v="92372"/>
    <s v="MT731"/>
    <x v="42"/>
    <n v="430.1"/>
    <n v="30"/>
    <n v="12903"/>
    <x v="62"/>
    <d v="2024-11-28T00:00:00"/>
  </r>
  <r>
    <n v="15718"/>
    <s v="OS572"/>
    <x v="37"/>
    <n v="753.12"/>
    <n v="16"/>
    <n v="12049.92"/>
    <x v="419"/>
    <d v="2023-06-08T00:00:00"/>
  </r>
  <r>
    <n v="74416"/>
    <s v="WI591"/>
    <x v="23"/>
    <n v="533.15"/>
    <n v="47"/>
    <n v="25058.05"/>
    <x v="114"/>
    <d v="2024-04-28T00:00:00"/>
  </r>
  <r>
    <n v="78749"/>
    <s v="BL462"/>
    <x v="17"/>
    <n v="366.3"/>
    <n v="11"/>
    <n v="4029.3"/>
    <x v="244"/>
    <d v="2024-06-13T00:00:00"/>
  </r>
  <r>
    <n v="30399"/>
    <s v="HL575"/>
    <x v="43"/>
    <n v="870.6"/>
    <n v="42"/>
    <n v="36565.199999999997"/>
    <x v="438"/>
    <d v="2024-01-10T00:00:00"/>
  </r>
  <r>
    <n v="59957"/>
    <s v="BL462"/>
    <x v="17"/>
    <n v="366.3"/>
    <n v="10"/>
    <n v="3663"/>
    <x v="203"/>
    <d v="2024-06-12T00:00:00"/>
  </r>
  <r>
    <n v="71311"/>
    <s v="GP381"/>
    <x v="19"/>
    <n v="682.74"/>
    <n v="16"/>
    <n v="10923.84"/>
    <x v="22"/>
    <d v="2023-12-12T00:00:00"/>
  </r>
  <r>
    <n v="80108"/>
    <s v="CB356"/>
    <x v="43"/>
    <n v="870.6"/>
    <n v="24"/>
    <n v="20894.400000000001"/>
    <x v="439"/>
    <d v="2024-01-29T00:00:00"/>
  </r>
  <r>
    <n v="86133"/>
    <s v="OS572"/>
    <x v="41"/>
    <n v="158.66999999999999"/>
    <n v="6"/>
    <n v="952.02"/>
    <x v="301"/>
    <d v="2023-06-27T00:00:00"/>
  </r>
  <r>
    <n v="26610"/>
    <s v="RR309"/>
    <x v="18"/>
    <n v="617.33000000000004"/>
    <n v="35"/>
    <n v="21606.55"/>
    <x v="440"/>
    <d v="2024-06-11T00:00:00"/>
  </r>
  <r>
    <n v="30586"/>
    <s v="PL284"/>
    <x v="46"/>
    <n v="346.4"/>
    <n v="26"/>
    <n v="9006.4"/>
    <x v="441"/>
    <d v="2024-08-24T00:00:00"/>
  </r>
  <r>
    <n v="72224"/>
    <s v="BZ515"/>
    <x v="27"/>
    <n v="399.32"/>
    <n v="26"/>
    <n v="10382.32"/>
    <x v="442"/>
    <d v="2024-05-01T00:00:00"/>
  </r>
  <r>
    <n v="62523"/>
    <s v="CB356"/>
    <x v="14"/>
    <n v="112.52"/>
    <n v="34"/>
    <n v="3825.68"/>
    <x v="275"/>
    <d v="2023-03-20T00:00:00"/>
  </r>
  <r>
    <n v="29380"/>
    <s v="RR354"/>
    <x v="2"/>
    <n v="68.05"/>
    <n v="20"/>
    <n v="1361"/>
    <x v="290"/>
    <d v="2023-01-28T00:00:00"/>
  </r>
  <r>
    <n v="73435"/>
    <s v="RR354"/>
    <x v="49"/>
    <n v="761.92"/>
    <n v="5"/>
    <n v="3809.6"/>
    <x v="443"/>
    <d v="2023-09-07T00:00:00"/>
  </r>
  <r>
    <n v="77366"/>
    <s v="GP381"/>
    <x v="13"/>
    <n v="110.41"/>
    <n v="7"/>
    <n v="772.87"/>
    <x v="444"/>
    <d v="2023-11-02T00:00:00"/>
  </r>
  <r>
    <n v="30261"/>
    <s v="WI591"/>
    <x v="33"/>
    <n v="705.68"/>
    <n v="18"/>
    <n v="12702.24"/>
    <x v="445"/>
    <d v="2024-02-11T00:00:00"/>
  </r>
  <r>
    <n v="71674"/>
    <s v="CB356"/>
    <x v="27"/>
    <n v="399.32"/>
    <n v="50"/>
    <n v="19966"/>
    <x v="216"/>
    <d v="2024-10-15T00:00:00"/>
  </r>
  <r>
    <n v="47169"/>
    <s v="FL553"/>
    <x v="47"/>
    <n v="325"/>
    <n v="43"/>
    <n v="13975"/>
    <x v="446"/>
    <d v="2023-04-02T00:00:00"/>
  </r>
  <r>
    <n v="69843"/>
    <s v="PL284"/>
    <x v="17"/>
    <n v="366.3"/>
    <n v="1"/>
    <n v="366.3"/>
    <x v="381"/>
    <d v="2024-12-12T00:00:00"/>
  </r>
  <r>
    <n v="16026"/>
    <s v="RR354"/>
    <x v="36"/>
    <n v="796.51"/>
    <n v="46"/>
    <n v="36639.46"/>
    <x v="20"/>
    <d v="2024-05-12T00:00:00"/>
  </r>
  <r>
    <n v="41528"/>
    <s v="OS572"/>
    <x v="22"/>
    <n v="468.95"/>
    <n v="40"/>
    <n v="18758"/>
    <x v="447"/>
    <d v="2023-06-29T00:00:00"/>
  </r>
  <r>
    <n v="75086"/>
    <s v="BL462"/>
    <x v="16"/>
    <n v="654.4"/>
    <n v="32"/>
    <n v="20940.8"/>
    <x v="432"/>
    <d v="2023-06-06T00:00:00"/>
  </r>
  <r>
    <n v="16616"/>
    <s v="BZ515"/>
    <x v="15"/>
    <n v="608.37"/>
    <n v="29"/>
    <n v="17642.73"/>
    <x v="448"/>
    <d v="2023-12-10T00:00:00"/>
  </r>
  <r>
    <n v="13608"/>
    <s v="PL284"/>
    <x v="17"/>
    <n v="366.3"/>
    <n v="50"/>
    <n v="18315"/>
    <x v="449"/>
    <d v="2024-02-14T00:00:00"/>
  </r>
  <r>
    <n v="48147"/>
    <s v="HL575"/>
    <x v="34"/>
    <n v="474.55"/>
    <n v="42"/>
    <n v="19931.099999999999"/>
    <x v="46"/>
    <d v="2023-05-03T00:00:00"/>
  </r>
  <r>
    <n v="22661"/>
    <s v="WD343"/>
    <x v="49"/>
    <n v="761.92"/>
    <n v="7"/>
    <n v="5333.44"/>
    <x v="450"/>
    <d v="2024-05-06T00:00:00"/>
  </r>
  <r>
    <n v="50973"/>
    <s v="RR354"/>
    <x v="22"/>
    <n v="468.95"/>
    <n v="48"/>
    <n v="22509.599999999999"/>
    <x v="370"/>
    <d v="2024-02-19T00:00:00"/>
  </r>
  <r>
    <n v="92398"/>
    <s v="SV938"/>
    <x v="8"/>
    <n v="596.97"/>
    <n v="26"/>
    <n v="15521.22"/>
    <x v="191"/>
    <d v="2023-04-06T00:00:00"/>
  </r>
  <r>
    <n v="24296"/>
    <s v="WI591"/>
    <x v="45"/>
    <n v="890.84"/>
    <n v="40"/>
    <n v="35633.599999999999"/>
    <x v="303"/>
    <d v="2023-04-09T00:00:00"/>
  </r>
  <r>
    <n v="78028"/>
    <s v="WI591"/>
    <x v="4"/>
    <n v="546.64"/>
    <n v="13"/>
    <n v="7106.32"/>
    <x v="451"/>
    <d v="2023-03-31T00:00:00"/>
  </r>
  <r>
    <n v="36966"/>
    <s v="SL727"/>
    <x v="6"/>
    <n v="222.47"/>
    <n v="35"/>
    <n v="7786.45"/>
    <x v="395"/>
    <d v="2024-07-09T00:00:00"/>
  </r>
  <r>
    <n v="80788"/>
    <s v="GH786"/>
    <x v="20"/>
    <n v="93.68"/>
    <n v="20"/>
    <n v="1873.6"/>
    <x v="143"/>
    <d v="2023-02-27T00:00:00"/>
  </r>
  <r>
    <n v="79416"/>
    <s v="GP381"/>
    <x v="26"/>
    <n v="730.09"/>
    <n v="1"/>
    <n v="730.09"/>
    <x v="149"/>
    <d v="2023-04-22T00:00:00"/>
  </r>
  <r>
    <n v="83130"/>
    <s v="FL553"/>
    <x v="9"/>
    <n v="796.94"/>
    <n v="27"/>
    <n v="21517.38"/>
    <x v="262"/>
    <d v="2023-07-06T00:00:00"/>
  </r>
  <r>
    <n v="79366"/>
    <s v="FL553"/>
    <x v="14"/>
    <n v="112.52"/>
    <n v="30"/>
    <n v="3375.6"/>
    <x v="301"/>
    <d v="2023-03-13T00:00:00"/>
  </r>
  <r>
    <n v="43263"/>
    <s v="CB356"/>
    <x v="16"/>
    <n v="654.4"/>
    <n v="22"/>
    <n v="14396.8"/>
    <x v="2"/>
    <d v="2024-09-05T00:00:00"/>
  </r>
  <r>
    <n v="99928"/>
    <s v="WD343"/>
    <x v="35"/>
    <n v="611.66"/>
    <n v="1"/>
    <n v="611.66"/>
    <x v="189"/>
    <d v="2024-06-11T00:00:00"/>
  </r>
  <r>
    <n v="34372"/>
    <s v="HN871"/>
    <x v="33"/>
    <n v="705.68"/>
    <n v="1"/>
    <n v="705.68"/>
    <x v="452"/>
    <d v="2024-09-07T00:00:00"/>
  </r>
  <r>
    <n v="45728"/>
    <s v="CB356"/>
    <x v="17"/>
    <n v="366.3"/>
    <n v="30"/>
    <n v="10989"/>
    <x v="396"/>
    <d v="2023-06-20T00:00:00"/>
  </r>
  <r>
    <n v="47227"/>
    <s v="MT731"/>
    <x v="23"/>
    <n v="533.15"/>
    <n v="46"/>
    <n v="24524.9"/>
    <x v="316"/>
    <d v="2023-02-28T00:00:00"/>
  </r>
  <r>
    <n v="96364"/>
    <s v="FL553"/>
    <x v="9"/>
    <n v="796.94"/>
    <n v="4"/>
    <n v="3187.76"/>
    <x v="226"/>
    <d v="2024-05-03T00:00:00"/>
  </r>
  <r>
    <n v="30030"/>
    <s v="HN871"/>
    <x v="10"/>
    <n v="233.83"/>
    <n v="4"/>
    <n v="935.32"/>
    <x v="453"/>
    <d v="2023-07-29T00:00:00"/>
  </r>
  <r>
    <n v="54822"/>
    <s v="HN871"/>
    <x v="34"/>
    <n v="474.55"/>
    <n v="25"/>
    <n v="11863.75"/>
    <x v="454"/>
    <d v="2024-03-22T00:00:00"/>
  </r>
  <r>
    <n v="72660"/>
    <s v="PL284"/>
    <x v="34"/>
    <n v="474.55"/>
    <n v="25"/>
    <n v="11863.75"/>
    <x v="455"/>
    <d v="2023-12-12T00:00:00"/>
  </r>
  <r>
    <n v="58357"/>
    <s v="BL462"/>
    <x v="18"/>
    <n v="617.33000000000004"/>
    <n v="26"/>
    <n v="16050.58"/>
    <x v="407"/>
    <d v="2024-06-18T00:00:00"/>
  </r>
  <r>
    <n v="16433"/>
    <s v="SL727"/>
    <x v="32"/>
    <n v="184.57"/>
    <n v="5"/>
    <n v="922.85"/>
    <x v="121"/>
    <d v="2024-11-06T00:00:00"/>
  </r>
  <r>
    <n v="98931"/>
    <s v="HN871"/>
    <x v="8"/>
    <n v="596.97"/>
    <n v="3"/>
    <n v="1790.91"/>
    <x v="447"/>
    <d v="2024-01-02T00:00:00"/>
  </r>
  <r>
    <n v="33374"/>
    <s v="FL553"/>
    <x v="17"/>
    <n v="366.3"/>
    <n v="32"/>
    <n v="11721.6"/>
    <x v="456"/>
    <d v="2024-05-28T00:00:00"/>
  </r>
  <r>
    <n v="18801"/>
    <s v="MT731"/>
    <x v="43"/>
    <n v="870.6"/>
    <n v="40"/>
    <n v="34824"/>
    <x v="66"/>
    <d v="2024-01-07T00:00:00"/>
  </r>
  <r>
    <n v="40645"/>
    <s v="PL284"/>
    <x v="12"/>
    <n v="875.47"/>
    <n v="30"/>
    <n v="26264.1"/>
    <x v="266"/>
    <d v="2024-01-19T00:00:00"/>
  </r>
  <r>
    <n v="56283"/>
    <s v="GH786"/>
    <x v="38"/>
    <n v="45.72"/>
    <n v="13"/>
    <n v="594.36"/>
    <x v="457"/>
    <d v="2023-05-20T00:00:00"/>
  </r>
  <r>
    <n v="62746"/>
    <s v="SL727"/>
    <x v="37"/>
    <n v="753.12"/>
    <n v="26"/>
    <n v="19581.12"/>
    <x v="325"/>
    <d v="2023-05-12T00:00:00"/>
  </r>
  <r>
    <n v="68815"/>
    <s v="CB356"/>
    <x v="44"/>
    <n v="913.18"/>
    <n v="33"/>
    <n v="30134.94"/>
    <x v="60"/>
    <d v="2024-06-12T00:00:00"/>
  </r>
  <r>
    <n v="52874"/>
    <s v="PL284"/>
    <x v="28"/>
    <n v="641.34"/>
    <n v="36"/>
    <n v="23088.240000000002"/>
    <x v="458"/>
    <d v="2023-07-13T00:00:00"/>
  </r>
  <r>
    <n v="48546"/>
    <s v="MS200"/>
    <x v="8"/>
    <n v="596.97"/>
    <n v="5"/>
    <n v="2984.85"/>
    <x v="301"/>
    <d v="2023-02-24T00:00:00"/>
  </r>
  <r>
    <n v="62900"/>
    <s v="CB356"/>
    <x v="43"/>
    <n v="870.6"/>
    <n v="22"/>
    <n v="19153.2"/>
    <x v="459"/>
    <d v="2023-02-20T00:00:00"/>
  </r>
  <r>
    <n v="81140"/>
    <s v="PL284"/>
    <x v="3"/>
    <n v="449.74"/>
    <n v="10"/>
    <n v="4497.3999999999996"/>
    <x v="411"/>
    <d v="2024-06-13T00:00:00"/>
  </r>
  <r>
    <n v="58106"/>
    <s v="BZ515"/>
    <x v="46"/>
    <n v="346.4"/>
    <n v="15"/>
    <n v="5196"/>
    <x v="460"/>
    <d v="2024-12-27T00:00:00"/>
  </r>
  <r>
    <n v="93327"/>
    <s v="OS572"/>
    <x v="40"/>
    <n v="795.19"/>
    <n v="10"/>
    <n v="7951.9"/>
    <x v="366"/>
    <d v="2024-01-14T00:00:00"/>
  </r>
  <r>
    <n v="75493"/>
    <s v="CB356"/>
    <x v="32"/>
    <n v="184.57"/>
    <n v="15"/>
    <n v="2768.55"/>
    <x v="87"/>
    <d v="2023-07-29T00:00:00"/>
  </r>
  <r>
    <n v="43094"/>
    <s v="MT731"/>
    <x v="16"/>
    <n v="654.4"/>
    <n v="29"/>
    <n v="18977.599999999999"/>
    <x v="14"/>
    <d v="2023-12-01T00:00:00"/>
  </r>
  <r>
    <n v="40906"/>
    <s v="BZ515"/>
    <x v="48"/>
    <n v="95.12"/>
    <n v="3"/>
    <n v="285.36"/>
    <x v="268"/>
    <d v="2024-04-25T00:00:00"/>
  </r>
  <r>
    <n v="70520"/>
    <s v="SV938"/>
    <x v="17"/>
    <n v="366.3"/>
    <n v="45"/>
    <n v="16483.5"/>
    <x v="461"/>
    <d v="2023-05-05T00:00:00"/>
  </r>
  <r>
    <n v="71310"/>
    <s v="HL575"/>
    <x v="7"/>
    <n v="101.12"/>
    <n v="41"/>
    <n v="4145.92"/>
    <x v="190"/>
    <d v="2023-10-01T00:00:00"/>
  </r>
  <r>
    <n v="81115"/>
    <s v="MS200"/>
    <x v="3"/>
    <n v="449.74"/>
    <n v="43"/>
    <n v="19338.82"/>
    <x v="149"/>
    <d v="2023-05-13T00:00:00"/>
  </r>
  <r>
    <n v="20677"/>
    <s v="HL575"/>
    <x v="25"/>
    <n v="972.24"/>
    <n v="49"/>
    <n v="47639.76"/>
    <x v="462"/>
    <d v="2023-05-04T00:00:00"/>
  </r>
  <r>
    <n v="19286"/>
    <s v="BZ515"/>
    <x v="24"/>
    <n v="323.73"/>
    <n v="18"/>
    <n v="5827.14"/>
    <x v="16"/>
    <d v="2024-04-04T00:00:00"/>
  </r>
  <r>
    <n v="42293"/>
    <s v="OS572"/>
    <x v="7"/>
    <n v="101.12"/>
    <n v="40"/>
    <n v="4044.8"/>
    <x v="142"/>
    <d v="2024-05-28T00:00:00"/>
  </r>
  <r>
    <n v="87188"/>
    <s v="MT731"/>
    <x v="41"/>
    <n v="158.66999999999999"/>
    <n v="14"/>
    <n v="2221.38"/>
    <x v="463"/>
    <d v="2024-11-08T00:00:00"/>
  </r>
  <r>
    <n v="45269"/>
    <s v="SL727"/>
    <x v="38"/>
    <n v="45.72"/>
    <n v="7"/>
    <n v="320.04000000000002"/>
    <x v="12"/>
    <d v="2024-07-05T00:00:00"/>
  </r>
  <r>
    <n v="29918"/>
    <s v="GP381"/>
    <x v="49"/>
    <n v="761.92"/>
    <n v="1"/>
    <n v="761.92"/>
    <x v="464"/>
    <d v="2024-08-09T00:00:00"/>
  </r>
  <r>
    <n v="27993"/>
    <s v="MT731"/>
    <x v="31"/>
    <n v="346.37"/>
    <n v="8"/>
    <n v="2770.96"/>
    <x v="465"/>
    <d v="2024-09-19T00:00:00"/>
  </r>
  <r>
    <n v="60180"/>
    <s v="MS200"/>
    <x v="33"/>
    <n v="705.68"/>
    <n v="5"/>
    <n v="3528.4"/>
    <x v="197"/>
    <d v="2023-03-06T00:00:00"/>
  </r>
  <r>
    <n v="39395"/>
    <s v="WD343"/>
    <x v="17"/>
    <n v="366.3"/>
    <n v="34"/>
    <n v="12454.2"/>
    <x v="466"/>
    <d v="2023-04-19T00:00:00"/>
  </r>
  <r>
    <n v="47118"/>
    <s v="HL575"/>
    <x v="24"/>
    <n v="323.73"/>
    <n v="30"/>
    <n v="9711.9"/>
    <x v="252"/>
    <d v="2024-07-07T00:00:00"/>
  </r>
  <r>
    <n v="58033"/>
    <s v="WD343"/>
    <x v="6"/>
    <n v="222.47"/>
    <n v="44"/>
    <n v="9788.68"/>
    <x v="94"/>
    <d v="2023-05-14T00:00:00"/>
  </r>
  <r>
    <n v="80336"/>
    <s v="WI591"/>
    <x v="32"/>
    <n v="184.57"/>
    <n v="26"/>
    <n v="4798.82"/>
    <x v="467"/>
    <d v="2024-11-24T00:00:00"/>
  </r>
  <r>
    <n v="25422"/>
    <s v="SL727"/>
    <x v="17"/>
    <n v="366.3"/>
    <n v="33"/>
    <n v="12087.9"/>
    <x v="251"/>
    <d v="2024-08-17T00:00:00"/>
  </r>
  <r>
    <n v="22838"/>
    <s v="BZ515"/>
    <x v="47"/>
    <n v="325"/>
    <n v="32"/>
    <n v="10400"/>
    <x v="468"/>
    <d v="2023-11-15T00:00:00"/>
  </r>
  <r>
    <n v="48973"/>
    <s v="RR354"/>
    <x v="20"/>
    <n v="93.68"/>
    <n v="28"/>
    <n v="2623.04"/>
    <x v="469"/>
    <d v="2024-05-28T00:00:00"/>
  </r>
  <r>
    <n v="72047"/>
    <s v="BZ515"/>
    <x v="24"/>
    <n v="323.73"/>
    <n v="13"/>
    <n v="4208.49"/>
    <x v="282"/>
    <d v="2023-02-06T00:00:00"/>
  </r>
  <r>
    <n v="73822"/>
    <s v="BZ515"/>
    <x v="10"/>
    <n v="233.83"/>
    <n v="37"/>
    <n v="8651.7099999999991"/>
    <x v="470"/>
    <d v="2024-01-06T00:00:00"/>
  </r>
  <r>
    <n v="59483"/>
    <s v="HL575"/>
    <x v="10"/>
    <n v="233.83"/>
    <n v="41"/>
    <n v="9587.0300000000007"/>
    <x v="407"/>
    <d v="2024-04-13T00:00:00"/>
  </r>
  <r>
    <n v="27567"/>
    <s v="HN871"/>
    <x v="23"/>
    <n v="533.15"/>
    <n v="42"/>
    <n v="22392.3"/>
    <x v="471"/>
    <d v="2024-12-17T00:00:00"/>
  </r>
  <r>
    <n v="57715"/>
    <s v="WD343"/>
    <x v="25"/>
    <n v="972.24"/>
    <n v="28"/>
    <n v="27222.720000000001"/>
    <x v="121"/>
    <d v="2024-05-24T00:00:00"/>
  </r>
  <r>
    <n v="91764"/>
    <s v="HG412"/>
    <x v="36"/>
    <n v="796.51"/>
    <n v="2"/>
    <n v="1593.02"/>
    <x v="472"/>
    <d v="2024-05-15T00:00:00"/>
  </r>
  <r>
    <n v="37549"/>
    <s v="BL462"/>
    <x v="7"/>
    <n v="101.12"/>
    <n v="14"/>
    <n v="1415.68"/>
    <x v="54"/>
    <d v="2024-02-18T00:00:00"/>
  </r>
  <r>
    <n v="85641"/>
    <s v="FL553"/>
    <x v="35"/>
    <n v="611.66"/>
    <n v="7"/>
    <n v="4281.62"/>
    <x v="76"/>
    <d v="2023-02-05T00:00:00"/>
  </r>
  <r>
    <n v="15240"/>
    <s v="HN871"/>
    <x v="19"/>
    <n v="682.74"/>
    <n v="30"/>
    <n v="20482.2"/>
    <x v="473"/>
    <d v="2024-01-23T00:00:00"/>
  </r>
  <r>
    <n v="67426"/>
    <s v="GB310"/>
    <x v="46"/>
    <n v="346.4"/>
    <n v="12"/>
    <n v="4156.8"/>
    <x v="273"/>
    <d v="2024-03-29T00:00:00"/>
  </r>
  <r>
    <n v="10497"/>
    <s v="PL284"/>
    <x v="42"/>
    <n v="430.1"/>
    <n v="16"/>
    <n v="6881.6"/>
    <x v="474"/>
    <d v="2023-09-18T00:00:00"/>
  </r>
  <r>
    <n v="99341"/>
    <s v="SV938"/>
    <x v="17"/>
    <n v="366.3"/>
    <n v="40"/>
    <n v="14652"/>
    <x v="285"/>
    <d v="2023-07-06T00:00:00"/>
  </r>
  <r>
    <n v="70657"/>
    <s v="BL462"/>
    <x v="7"/>
    <n v="101.12"/>
    <n v="7"/>
    <n v="707.84"/>
    <x v="475"/>
    <d v="2024-09-28T00:00:00"/>
  </r>
  <r>
    <n v="69084"/>
    <s v="PL284"/>
    <x v="31"/>
    <n v="346.37"/>
    <n v="38"/>
    <n v="13162.06"/>
    <x v="227"/>
    <d v="2023-04-01T00:00:00"/>
  </r>
  <r>
    <n v="33684"/>
    <s v="HL575"/>
    <x v="16"/>
    <n v="654.4"/>
    <n v="23"/>
    <n v="15051.2"/>
    <x v="296"/>
    <d v="2024-04-06T00:00:00"/>
  </r>
  <r>
    <n v="99831"/>
    <s v="BL462"/>
    <x v="13"/>
    <n v="110.41"/>
    <n v="15"/>
    <n v="1656.15"/>
    <x v="116"/>
    <d v="2024-04-03T00:00:00"/>
  </r>
  <r>
    <n v="45831"/>
    <s v="BL462"/>
    <x v="21"/>
    <n v="534.77"/>
    <n v="19"/>
    <n v="10160.629999999999"/>
    <x v="476"/>
    <d v="2024-05-23T00:00:00"/>
  </r>
  <r>
    <n v="89239"/>
    <s v="HG412"/>
    <x v="42"/>
    <n v="430.1"/>
    <n v="12"/>
    <n v="5161.2"/>
    <x v="477"/>
    <d v="2024-02-16T00:00:00"/>
  </r>
  <r>
    <n v="25585"/>
    <s v="PL284"/>
    <x v="36"/>
    <n v="796.51"/>
    <n v="25"/>
    <n v="19912.75"/>
    <x v="474"/>
    <d v="2023-05-04T00:00:00"/>
  </r>
  <r>
    <n v="32342"/>
    <s v="RR354"/>
    <x v="31"/>
    <n v="346.37"/>
    <n v="5"/>
    <n v="1731.85"/>
    <x v="478"/>
    <d v="2024-01-06T00:00:00"/>
  </r>
  <r>
    <n v="39932"/>
    <s v="BZ515"/>
    <x v="33"/>
    <n v="705.68"/>
    <n v="6"/>
    <n v="4234.08"/>
    <x v="230"/>
    <d v="2023-09-14T00:00:00"/>
  </r>
  <r>
    <n v="75760"/>
    <s v="BZ515"/>
    <x v="44"/>
    <n v="913.18"/>
    <n v="31"/>
    <n v="28308.58"/>
    <x v="479"/>
    <d v="2023-02-16T00:00:00"/>
  </r>
  <r>
    <n v="64888"/>
    <s v="BL462"/>
    <x v="16"/>
    <n v="654.4"/>
    <n v="6"/>
    <n v="3926.4"/>
    <x v="480"/>
    <d v="2023-10-18T00:00:00"/>
  </r>
  <r>
    <n v="85423"/>
    <s v="MT731"/>
    <x v="15"/>
    <n v="608.37"/>
    <n v="16"/>
    <n v="9733.92"/>
    <x v="481"/>
    <d v="2023-08-25T00:00:00"/>
  </r>
  <r>
    <n v="37918"/>
    <s v="BL462"/>
    <x v="15"/>
    <n v="608.37"/>
    <n v="48"/>
    <n v="29201.759999999998"/>
    <x v="482"/>
    <d v="2023-07-04T00:00:00"/>
  </r>
  <r>
    <n v="26343"/>
    <s v="GB310"/>
    <x v="28"/>
    <n v="641.34"/>
    <n v="15"/>
    <n v="9620.1"/>
    <x v="483"/>
    <d v="2023-09-24T00:00:00"/>
  </r>
  <r>
    <n v="21904"/>
    <s v="GP381"/>
    <x v="47"/>
    <n v="325"/>
    <n v="46"/>
    <n v="14950"/>
    <x v="484"/>
    <d v="2024-03-08T00:00:00"/>
  </r>
  <r>
    <n v="68786"/>
    <s v="FL553"/>
    <x v="49"/>
    <n v="761.92"/>
    <n v="23"/>
    <n v="17524.16"/>
    <x v="485"/>
    <d v="2024-12-22T00:00:00"/>
  </r>
  <r>
    <n v="34649"/>
    <s v="GP381"/>
    <x v="27"/>
    <n v="399.32"/>
    <n v="9"/>
    <n v="3593.88"/>
    <x v="432"/>
    <d v="2024-01-06T00:00:00"/>
  </r>
  <r>
    <n v="49433"/>
    <s v="SL727"/>
    <x v="31"/>
    <n v="346.37"/>
    <n v="34"/>
    <n v="11776.58"/>
    <x v="92"/>
    <d v="2023-09-21T00:00:00"/>
  </r>
  <r>
    <n v="78946"/>
    <s v="CB356"/>
    <x v="1"/>
    <n v="683.98"/>
    <n v="36"/>
    <n v="24623.279999999999"/>
    <x v="142"/>
    <d v="2024-07-06T00:00:00"/>
  </r>
  <r>
    <n v="21526"/>
    <s v="CB356"/>
    <x v="24"/>
    <n v="323.73"/>
    <n v="21"/>
    <n v="6798.33"/>
    <x v="486"/>
    <d v="2023-02-05T00:00:00"/>
  </r>
  <r>
    <n v="76723"/>
    <s v="SL727"/>
    <x v="46"/>
    <n v="346.4"/>
    <n v="44"/>
    <n v="15241.6"/>
    <x v="72"/>
    <d v="2023-03-27T00:00:00"/>
  </r>
  <r>
    <n v="51834"/>
    <s v="OS572"/>
    <x v="8"/>
    <n v="596.97"/>
    <n v="35"/>
    <n v="20893.95"/>
    <x v="410"/>
    <d v="2023-01-28T00:00:00"/>
  </r>
  <r>
    <n v="69699"/>
    <s v="MS200"/>
    <x v="39"/>
    <n v="402.36"/>
    <n v="20"/>
    <n v="8047.2"/>
    <x v="487"/>
    <d v="2023-02-04T00:00:00"/>
  </r>
  <r>
    <n v="80701"/>
    <s v="MS200"/>
    <x v="36"/>
    <n v="796.51"/>
    <n v="14"/>
    <n v="11151.14"/>
    <x v="159"/>
    <d v="2023-02-27T00:00:00"/>
  </r>
  <r>
    <n v="79704"/>
    <s v="BL462"/>
    <x v="32"/>
    <n v="184.57"/>
    <n v="34"/>
    <n v="6275.38"/>
    <x v="488"/>
    <d v="2024-04-06T00:00:00"/>
  </r>
  <r>
    <n v="13683"/>
    <s v="BZ515"/>
    <x v="11"/>
    <n v="988.47"/>
    <n v="46"/>
    <n v="45469.62"/>
    <x v="28"/>
    <d v="2023-07-16T00:00:00"/>
  </r>
  <r>
    <n v="79046"/>
    <s v="HN871"/>
    <x v="0"/>
    <n v="855.99"/>
    <n v="40"/>
    <n v="34239.599999999999"/>
    <x v="489"/>
    <d v="2024-08-26T00:00:00"/>
  </r>
  <r>
    <n v="39938"/>
    <s v="GB310"/>
    <x v="12"/>
    <n v="875.47"/>
    <n v="1"/>
    <n v="875.47"/>
    <x v="490"/>
    <d v="2024-08-11T00:00:00"/>
  </r>
  <r>
    <n v="76991"/>
    <s v="BZ515"/>
    <x v="43"/>
    <n v="870.6"/>
    <n v="1"/>
    <n v="870.6"/>
    <x v="491"/>
    <d v="2024-04-17T00:00:00"/>
  </r>
  <r>
    <n v="80237"/>
    <s v="HL575"/>
    <x v="26"/>
    <n v="730.09"/>
    <n v="19"/>
    <n v="13871.71"/>
    <x v="453"/>
    <d v="2023-04-09T00:00:00"/>
  </r>
  <r>
    <n v="35231"/>
    <s v="PL284"/>
    <x v="7"/>
    <n v="101.12"/>
    <n v="32"/>
    <n v="3235.84"/>
    <x v="352"/>
    <d v="2023-10-09T00:00:00"/>
  </r>
  <r>
    <n v="12572"/>
    <s v="PL284"/>
    <x v="18"/>
    <n v="617.33000000000004"/>
    <n v="39"/>
    <n v="24075.87"/>
    <x v="218"/>
    <d v="2024-08-08T00:00:00"/>
  </r>
  <r>
    <n v="65029"/>
    <s v="PL284"/>
    <x v="5"/>
    <n v="622.16"/>
    <n v="36"/>
    <n v="22397.759999999998"/>
    <x v="348"/>
    <d v="2024-04-03T00:00:00"/>
  </r>
  <r>
    <n v="71646"/>
    <s v="RR354"/>
    <x v="36"/>
    <n v="796.51"/>
    <n v="37"/>
    <n v="29470.87"/>
    <x v="142"/>
    <d v="2024-06-21T00:00:00"/>
  </r>
  <r>
    <n v="36849"/>
    <s v="CB356"/>
    <x v="2"/>
    <n v="68.05"/>
    <n v="7"/>
    <n v="476.35"/>
    <x v="464"/>
    <d v="2023-09-19T00:00:00"/>
  </r>
  <r>
    <n v="93787"/>
    <s v="RR354"/>
    <x v="21"/>
    <n v="534.77"/>
    <n v="38"/>
    <n v="20321.259999999998"/>
    <x v="492"/>
    <d v="2023-11-16T00:00:00"/>
  </r>
  <r>
    <n v="17814"/>
    <s v="HG412"/>
    <x v="48"/>
    <n v="95.12"/>
    <n v="16"/>
    <n v="1521.92"/>
    <x v="1"/>
    <d v="2024-07-05T00:00:00"/>
  </r>
  <r>
    <n v="63935"/>
    <s v="CB356"/>
    <x v="40"/>
    <n v="795.19"/>
    <n v="38"/>
    <n v="30217.22"/>
    <x v="419"/>
    <d v="2024-07-18T00:00:00"/>
  </r>
  <r>
    <n v="28944"/>
    <s v="WD343"/>
    <x v="27"/>
    <n v="399.32"/>
    <n v="38"/>
    <n v="15174.16"/>
    <x v="493"/>
    <d v="2024-03-03T00:00:00"/>
  </r>
  <r>
    <n v="48474"/>
    <s v="WD343"/>
    <x v="4"/>
    <n v="546.64"/>
    <n v="23"/>
    <n v="12572.72"/>
    <x v="494"/>
    <d v="2024-07-23T00:00:00"/>
  </r>
  <r>
    <n v="64023"/>
    <s v="HN871"/>
    <x v="32"/>
    <n v="184.57"/>
    <n v="18"/>
    <n v="3322.26"/>
    <x v="495"/>
    <d v="2024-02-28T00:00:00"/>
  </r>
  <r>
    <n v="75327"/>
    <s v="GH786"/>
    <x v="47"/>
    <n v="325"/>
    <n v="21"/>
    <n v="6825"/>
    <x v="496"/>
    <d v="2023-03-19T00:00:00"/>
  </r>
  <r>
    <n v="71738"/>
    <s v="WI591"/>
    <x v="49"/>
    <n v="761.92"/>
    <n v="24"/>
    <n v="18286.080000000002"/>
    <x v="112"/>
    <d v="2023-06-16T00:00:00"/>
  </r>
  <r>
    <n v="78729"/>
    <s v="OS572"/>
    <x v="33"/>
    <n v="705.68"/>
    <n v="34"/>
    <n v="23993.119999999999"/>
    <x v="365"/>
    <d v="2023-07-15T00:00:00"/>
  </r>
  <r>
    <n v="32893"/>
    <s v="GB310"/>
    <x v="12"/>
    <n v="875.47"/>
    <n v="7"/>
    <n v="6128.29"/>
    <x v="497"/>
    <d v="2023-10-08T00:00:00"/>
  </r>
  <r>
    <n v="86471"/>
    <s v="RR354"/>
    <x v="35"/>
    <n v="611.66"/>
    <n v="40"/>
    <n v="24466.400000000001"/>
    <x v="11"/>
    <d v="2024-10-02T00:00:00"/>
  </r>
  <r>
    <n v="71344"/>
    <s v="RR354"/>
    <x v="7"/>
    <n v="101.12"/>
    <n v="18"/>
    <n v="1820.16"/>
    <x v="498"/>
    <d v="2023-01-21T00:00:00"/>
  </r>
  <r>
    <n v="34564"/>
    <s v="HG412"/>
    <x v="13"/>
    <n v="110.41"/>
    <n v="4"/>
    <n v="441.64"/>
    <x v="499"/>
    <d v="2024-07-04T00:00:00"/>
  </r>
  <r>
    <n v="80772"/>
    <s v="WD343"/>
    <x v="8"/>
    <n v="596.97"/>
    <n v="39"/>
    <n v="23281.83"/>
    <x v="10"/>
    <d v="2024-06-30T00:00:00"/>
  </r>
  <r>
    <n v="74228"/>
    <s v="BL462"/>
    <x v="37"/>
    <n v="753.12"/>
    <n v="24"/>
    <n v="18074.88"/>
    <x v="500"/>
    <d v="2024-04-15T00:00:00"/>
  </r>
  <r>
    <n v="37976"/>
    <s v="GP381"/>
    <x v="20"/>
    <n v="93.68"/>
    <n v="35"/>
    <n v="3278.8"/>
    <x v="299"/>
    <d v="2023-07-09T00:00:00"/>
  </r>
  <r>
    <n v="60791"/>
    <s v="MT731"/>
    <x v="18"/>
    <n v="617.33000000000004"/>
    <n v="24"/>
    <n v="14815.92"/>
    <x v="55"/>
    <d v="2023-09-16T00:00:00"/>
  </r>
  <r>
    <n v="79327"/>
    <s v="FL553"/>
    <x v="32"/>
    <n v="184.57"/>
    <n v="34"/>
    <n v="6275.38"/>
    <x v="5"/>
    <d v="2023-10-31T00:00:00"/>
  </r>
  <r>
    <n v="47458"/>
    <s v="WI591"/>
    <x v="13"/>
    <n v="110.41"/>
    <n v="9"/>
    <n v="993.69"/>
    <x v="307"/>
    <d v="2023-09-16T00:00:00"/>
  </r>
  <r>
    <n v="69887"/>
    <s v="SV938"/>
    <x v="24"/>
    <n v="323.73"/>
    <n v="21"/>
    <n v="6798.33"/>
    <x v="160"/>
    <d v="2024-07-08T00:00:00"/>
  </r>
  <r>
    <n v="22908"/>
    <s v="BL462"/>
    <x v="8"/>
    <n v="596.97"/>
    <n v="23"/>
    <n v="13730.31"/>
    <x v="257"/>
    <d v="2024-07-21T00:00:00"/>
  </r>
  <r>
    <n v="48224"/>
    <s v="FL553"/>
    <x v="8"/>
    <n v="596.97"/>
    <n v="45"/>
    <n v="26863.65"/>
    <x v="501"/>
    <d v="2024-06-16T00:00:00"/>
  </r>
  <r>
    <n v="62876"/>
    <s v="HG412"/>
    <x v="2"/>
    <n v="68.05"/>
    <n v="14"/>
    <n v="952.7"/>
    <x v="486"/>
    <d v="2024-03-06T00:00:00"/>
  </r>
  <r>
    <n v="55192"/>
    <s v="HL575"/>
    <x v="29"/>
    <n v="404.9"/>
    <n v="23"/>
    <n v="9312.7000000000007"/>
    <x v="425"/>
    <d v="2023-04-13T00:00:00"/>
  </r>
  <r>
    <n v="87861"/>
    <s v="RR354"/>
    <x v="40"/>
    <n v="795.19"/>
    <n v="9"/>
    <n v="7156.71"/>
    <x v="502"/>
    <d v="2023-06-03T00:00:00"/>
  </r>
  <r>
    <n v="90939"/>
    <s v="PL284"/>
    <x v="23"/>
    <n v="533.15"/>
    <n v="16"/>
    <n v="8530.4"/>
    <x v="503"/>
    <d v="2024-06-27T00:00:00"/>
  </r>
  <r>
    <n v="66981"/>
    <s v="RR354"/>
    <x v="15"/>
    <n v="608.37"/>
    <n v="39"/>
    <n v="23726.43"/>
    <x v="317"/>
    <d v="2023-04-08T00:00:00"/>
  </r>
  <r>
    <n v="36788"/>
    <s v="GP381"/>
    <x v="21"/>
    <n v="534.77"/>
    <n v="38"/>
    <n v="20321.259999999998"/>
    <x v="410"/>
    <d v="2023-12-01T00:00:00"/>
  </r>
  <r>
    <n v="20536"/>
    <s v="FL553"/>
    <x v="37"/>
    <n v="753.12"/>
    <n v="1"/>
    <n v="753.12"/>
    <x v="504"/>
    <d v="2024-08-28T00:00:00"/>
  </r>
  <r>
    <n v="78231"/>
    <s v="OS572"/>
    <x v="36"/>
    <n v="796.51"/>
    <n v="18"/>
    <n v="14337.18"/>
    <x v="86"/>
    <d v="2023-10-08T00:00:00"/>
  </r>
  <r>
    <n v="99076"/>
    <s v="MT731"/>
    <x v="45"/>
    <n v="890.84"/>
    <n v="16"/>
    <n v="14253.44"/>
    <x v="384"/>
    <d v="2024-08-27T00:00:00"/>
  </r>
  <r>
    <n v="89544"/>
    <s v="HG412"/>
    <x v="49"/>
    <n v="761.92"/>
    <n v="50"/>
    <n v="38096"/>
    <x v="352"/>
    <d v="2023-02-23T00:00:00"/>
  </r>
  <r>
    <n v="63828"/>
    <s v="HN871"/>
    <x v="47"/>
    <n v="325"/>
    <n v="19"/>
    <n v="6175"/>
    <x v="261"/>
    <d v="2023-03-23T00:00:00"/>
  </r>
  <r>
    <n v="11570"/>
    <s v="BZ515"/>
    <x v="22"/>
    <n v="468.95"/>
    <n v="41"/>
    <n v="19226.95"/>
    <x v="322"/>
    <d v="2023-10-11T00:00:00"/>
  </r>
  <r>
    <n v="34726"/>
    <s v="CB356"/>
    <x v="25"/>
    <n v="972.24"/>
    <n v="29"/>
    <n v="28194.959999999999"/>
    <x v="257"/>
    <d v="2024-10-09T00:00:00"/>
  </r>
  <r>
    <n v="79706"/>
    <s v="RR354"/>
    <x v="9"/>
    <n v="796.94"/>
    <n v="6"/>
    <n v="4781.6400000000003"/>
    <x v="505"/>
    <d v="2023-04-06T00:00:00"/>
  </r>
  <r>
    <n v="93384"/>
    <s v="CB356"/>
    <x v="45"/>
    <n v="890.84"/>
    <n v="44"/>
    <n v="39196.959999999999"/>
    <x v="15"/>
    <d v="2024-03-02T00:00:00"/>
  </r>
  <r>
    <n v="99189"/>
    <s v="FL553"/>
    <x v="15"/>
    <n v="608.37"/>
    <n v="21"/>
    <n v="12775.77"/>
    <x v="506"/>
    <d v="2023-12-08T00:00:00"/>
  </r>
  <r>
    <n v="93337"/>
    <s v="MS200"/>
    <x v="6"/>
    <n v="222.47"/>
    <n v="32"/>
    <n v="7119.04"/>
    <x v="144"/>
    <d v="2024-11-22T00:00:00"/>
  </r>
  <r>
    <n v="32764"/>
    <s v="OS572"/>
    <x v="34"/>
    <n v="474.55"/>
    <n v="45"/>
    <n v="21354.75"/>
    <x v="423"/>
    <d v="2023-02-04T00:00:00"/>
  </r>
  <r>
    <n v="18504"/>
    <s v="GB310"/>
    <x v="30"/>
    <n v="988.73"/>
    <n v="5"/>
    <n v="4943.6499999999996"/>
    <x v="309"/>
    <d v="2023-04-08T00:00:00"/>
  </r>
  <r>
    <n v="82356"/>
    <s v="BZ515"/>
    <x v="7"/>
    <n v="101.12"/>
    <n v="11"/>
    <n v="1112.32"/>
    <x v="507"/>
    <d v="2024-05-31T00:00:00"/>
  </r>
  <r>
    <n v="91301"/>
    <s v="MT731"/>
    <x v="36"/>
    <n v="796.51"/>
    <n v="29"/>
    <n v="23098.79"/>
    <x v="508"/>
    <d v="2023-09-18T00:00:00"/>
  </r>
  <r>
    <n v="33128"/>
    <s v="OS572"/>
    <x v="13"/>
    <n v="110.41"/>
    <n v="1"/>
    <n v="110.41"/>
    <x v="509"/>
    <d v="2023-04-14T00:00:00"/>
  </r>
  <r>
    <n v="20986"/>
    <s v="CB356"/>
    <x v="17"/>
    <n v="366.3"/>
    <n v="31"/>
    <n v="11355.3"/>
    <x v="253"/>
    <d v="2023-04-04T00:00:00"/>
  </r>
  <r>
    <n v="35625"/>
    <s v="MS200"/>
    <x v="21"/>
    <n v="534.77"/>
    <n v="27"/>
    <n v="14438.79"/>
    <x v="510"/>
    <d v="2024-05-06T00:00:00"/>
  </r>
  <r>
    <n v="80031"/>
    <s v="CB356"/>
    <x v="35"/>
    <n v="611.66"/>
    <n v="47"/>
    <n v="28748.02"/>
    <x v="320"/>
    <d v="2024-04-18T00:00:00"/>
  </r>
  <r>
    <n v="14947"/>
    <s v="SV938"/>
    <x v="34"/>
    <n v="474.55"/>
    <n v="35"/>
    <n v="16609.25"/>
    <x v="10"/>
    <d v="2023-02-09T00:00:00"/>
  </r>
  <r>
    <n v="77955"/>
    <s v="RR354"/>
    <x v="18"/>
    <n v="617.33000000000004"/>
    <n v="40"/>
    <n v="24693.200000000001"/>
    <x v="265"/>
    <d v="2024-01-05T00:00:00"/>
  </r>
  <r>
    <n v="19819"/>
    <s v="SV938"/>
    <x v="12"/>
    <n v="875.47"/>
    <n v="9"/>
    <n v="7879.23"/>
    <x v="91"/>
    <d v="2023-07-07T00:00:00"/>
  </r>
  <r>
    <n v="54778"/>
    <s v="CB356"/>
    <x v="33"/>
    <n v="705.68"/>
    <n v="18"/>
    <n v="12702.24"/>
    <x v="511"/>
    <d v="2024-01-10T00:00:00"/>
  </r>
  <r>
    <n v="89428"/>
    <s v="GB310"/>
    <x v="33"/>
    <n v="705.68"/>
    <n v="22"/>
    <n v="15524.96"/>
    <x v="447"/>
    <d v="2024-05-29T00:00:00"/>
  </r>
  <r>
    <n v="62503"/>
    <s v="HL575"/>
    <x v="1"/>
    <n v="683.98"/>
    <n v="45"/>
    <n v="30779.1"/>
    <x v="103"/>
    <d v="2024-06-02T00:00:00"/>
  </r>
  <r>
    <n v="32021"/>
    <s v="HL575"/>
    <x v="43"/>
    <n v="870.6"/>
    <n v="24"/>
    <n v="20894.400000000001"/>
    <x v="512"/>
    <d v="2024-01-21T00:00:00"/>
  </r>
  <r>
    <n v="44772"/>
    <s v="WD343"/>
    <x v="10"/>
    <n v="233.83"/>
    <n v="47"/>
    <n v="10990.01"/>
    <x v="513"/>
    <d v="2024-09-07T00:00:00"/>
  </r>
  <r>
    <n v="33633"/>
    <s v="GP381"/>
    <x v="36"/>
    <n v="796.51"/>
    <n v="18"/>
    <n v="14337.18"/>
    <x v="135"/>
    <d v="2023-08-11T00:00:00"/>
  </r>
  <r>
    <n v="89864"/>
    <s v="SV938"/>
    <x v="7"/>
    <n v="101.12"/>
    <n v="26"/>
    <n v="2629.12"/>
    <x v="514"/>
    <d v="2023-06-04T00:00:00"/>
  </r>
  <r>
    <n v="38289"/>
    <s v="BZ515"/>
    <x v="12"/>
    <n v="875.47"/>
    <n v="2"/>
    <n v="1750.94"/>
    <x v="515"/>
    <d v="2024-07-11T00:00:00"/>
  </r>
  <r>
    <n v="38085"/>
    <s v="MT731"/>
    <x v="1"/>
    <n v="683.98"/>
    <n v="7"/>
    <n v="4787.8599999999997"/>
    <x v="516"/>
    <d v="2024-08-22T00:00:00"/>
  </r>
  <r>
    <n v="19101"/>
    <s v="GB310"/>
    <x v="47"/>
    <n v="325"/>
    <n v="27"/>
    <n v="8775"/>
    <x v="10"/>
    <d v="2024-07-16T00:00:00"/>
  </r>
  <r>
    <n v="16193"/>
    <s v="PL284"/>
    <x v="26"/>
    <n v="730.09"/>
    <n v="15"/>
    <n v="10951.35"/>
    <x v="391"/>
    <d v="2023-08-16T00:00:00"/>
  </r>
  <r>
    <n v="64388"/>
    <s v="BL462"/>
    <x v="48"/>
    <n v="95.12"/>
    <n v="16"/>
    <n v="1521.92"/>
    <x v="517"/>
    <d v="2023-06-13T00:00:00"/>
  </r>
  <r>
    <n v="99986"/>
    <s v="HG412"/>
    <x v="9"/>
    <n v="796.94"/>
    <n v="29"/>
    <n v="23111.26"/>
    <x v="518"/>
    <d v="2024-07-31T00:00:00"/>
  </r>
  <r>
    <n v="91126"/>
    <s v="BL462"/>
    <x v="45"/>
    <n v="890.84"/>
    <n v="6"/>
    <n v="5345.04"/>
    <x v="436"/>
    <d v="2023-06-06T00:00:00"/>
  </r>
  <r>
    <n v="23982"/>
    <s v="SL727"/>
    <x v="8"/>
    <n v="596.97"/>
    <n v="16"/>
    <n v="9551.52"/>
    <x v="519"/>
    <d v="2024-02-15T00:00:00"/>
  </r>
  <r>
    <n v="65275"/>
    <s v="MS200"/>
    <x v="24"/>
    <n v="323.73"/>
    <n v="35"/>
    <n v="11330.55"/>
    <x v="202"/>
    <d v="2023-03-12T00:00:00"/>
  </r>
  <r>
    <n v="87537"/>
    <s v="RR309"/>
    <x v="27"/>
    <n v="399.32"/>
    <n v="21"/>
    <n v="8385.7199999999993"/>
    <x v="280"/>
    <d v="2023-06-12T00:00:00"/>
  </r>
  <r>
    <n v="12008"/>
    <s v="HL575"/>
    <x v="21"/>
    <n v="534.77"/>
    <n v="22"/>
    <n v="11764.94"/>
    <x v="520"/>
    <d v="2024-11-28T00:00:00"/>
  </r>
  <r>
    <n v="64679"/>
    <s v="GH786"/>
    <x v="1"/>
    <n v="683.98"/>
    <n v="39"/>
    <n v="26675.22"/>
    <x v="56"/>
    <d v="2023-10-22T00:00:00"/>
  </r>
  <r>
    <n v="40307"/>
    <s v="MS200"/>
    <x v="11"/>
    <n v="988.47"/>
    <n v="31"/>
    <n v="30642.57"/>
    <x v="159"/>
    <d v="2024-03-20T00:00:00"/>
  </r>
  <r>
    <n v="94998"/>
    <s v="WD343"/>
    <x v="8"/>
    <n v="596.97"/>
    <n v="32"/>
    <n v="19103.04"/>
    <x v="153"/>
    <d v="2024-03-08T00:00:00"/>
  </r>
  <r>
    <n v="79764"/>
    <s v="HG412"/>
    <x v="42"/>
    <n v="430.1"/>
    <n v="42"/>
    <n v="18064.2"/>
    <x v="402"/>
    <d v="2024-04-02T00:00:00"/>
  </r>
  <r>
    <n v="40886"/>
    <s v="GP381"/>
    <x v="9"/>
    <n v="796.94"/>
    <n v="7"/>
    <n v="5578.58"/>
    <x v="521"/>
    <d v="2023-04-09T00:00:00"/>
  </r>
  <r>
    <n v="96481"/>
    <s v="GP381"/>
    <x v="11"/>
    <n v="988.47"/>
    <n v="34"/>
    <n v="33607.980000000003"/>
    <x v="157"/>
    <d v="2024-04-01T00:00:00"/>
  </r>
  <r>
    <n v="67072"/>
    <s v="RR354"/>
    <x v="21"/>
    <n v="534.77"/>
    <n v="31"/>
    <n v="16577.87"/>
    <x v="332"/>
    <d v="2023-05-18T00:00:00"/>
  </r>
  <r>
    <n v="99403"/>
    <s v="MS200"/>
    <x v="3"/>
    <n v="449.74"/>
    <n v="41"/>
    <n v="18439.34"/>
    <x v="458"/>
    <d v="2023-12-13T00:00:00"/>
  </r>
  <r>
    <n v="22977"/>
    <s v="OS572"/>
    <x v="25"/>
    <n v="972.24"/>
    <n v="25"/>
    <n v="24306"/>
    <x v="522"/>
    <d v="2024-04-12T00:00:00"/>
  </r>
  <r>
    <n v="94641"/>
    <s v="MT731"/>
    <x v="6"/>
    <n v="222.47"/>
    <n v="36"/>
    <n v="8008.92"/>
    <x v="320"/>
    <d v="2024-09-27T00:00:00"/>
  </r>
  <r>
    <n v="60746"/>
    <s v="PL284"/>
    <x v="40"/>
    <n v="795.19"/>
    <n v="23"/>
    <n v="18289.37"/>
    <x v="523"/>
    <d v="2023-10-04T00:00:00"/>
  </r>
  <r>
    <n v="94068"/>
    <s v="GH786"/>
    <x v="32"/>
    <n v="184.57"/>
    <n v="17"/>
    <n v="3137.69"/>
    <x v="524"/>
    <d v="2023-06-14T00:00:00"/>
  </r>
  <r>
    <n v="82883"/>
    <s v="HN871"/>
    <x v="6"/>
    <n v="222.47"/>
    <n v="9"/>
    <n v="2002.23"/>
    <x v="367"/>
    <d v="2024-08-12T00:00:00"/>
  </r>
  <r>
    <n v="23497"/>
    <s v="MS200"/>
    <x v="34"/>
    <n v="474.55"/>
    <n v="13"/>
    <n v="6169.15"/>
    <x v="525"/>
    <d v="2023-06-12T00:00:00"/>
  </r>
  <r>
    <n v="62728"/>
    <s v="OS572"/>
    <x v="26"/>
    <n v="730.09"/>
    <n v="20"/>
    <n v="14601.8"/>
    <x v="526"/>
    <d v="2023-07-27T00:00:00"/>
  </r>
  <r>
    <n v="83112"/>
    <s v="RR354"/>
    <x v="34"/>
    <n v="474.55"/>
    <n v="4"/>
    <n v="1898.2"/>
    <x v="527"/>
    <d v="2023-05-14T00:00:00"/>
  </r>
  <r>
    <n v="35055"/>
    <s v="GH786"/>
    <x v="7"/>
    <n v="101.12"/>
    <n v="50"/>
    <n v="5056"/>
    <x v="85"/>
    <d v="2024-07-03T00:00:00"/>
  </r>
  <r>
    <n v="96324"/>
    <s v="MT731"/>
    <x v="32"/>
    <n v="184.57"/>
    <n v="2"/>
    <n v="369.14"/>
    <x v="352"/>
    <d v="2023-12-31T00:00:00"/>
  </r>
  <r>
    <n v="24749"/>
    <s v="CB356"/>
    <x v="27"/>
    <n v="399.32"/>
    <n v="13"/>
    <n v="5191.16"/>
    <x v="528"/>
    <d v="2023-12-22T00:00:00"/>
  </r>
  <r>
    <n v="25293"/>
    <s v="SL727"/>
    <x v="1"/>
    <n v="683.98"/>
    <n v="24"/>
    <n v="16415.52"/>
    <x v="498"/>
    <d v="2023-04-24T00:00:00"/>
  </r>
  <r>
    <n v="15196"/>
    <s v="MT731"/>
    <x v="11"/>
    <n v="988.47"/>
    <n v="10"/>
    <n v="9884.7000000000007"/>
    <x v="529"/>
    <d v="2023-10-25T00:00:00"/>
  </r>
  <r>
    <n v="90021"/>
    <s v="GP381"/>
    <x v="0"/>
    <n v="855.99"/>
    <n v="33"/>
    <n v="28247.67"/>
    <x v="327"/>
    <d v="2024-01-22T00:00:00"/>
  </r>
  <r>
    <n v="76092"/>
    <s v="WI591"/>
    <x v="26"/>
    <n v="730.09"/>
    <n v="47"/>
    <n v="34314.230000000003"/>
    <x v="469"/>
    <d v="2024-05-07T00:00:00"/>
  </r>
  <r>
    <n v="64423"/>
    <s v="RR354"/>
    <x v="48"/>
    <n v="95.12"/>
    <n v="41"/>
    <n v="3899.92"/>
    <x v="419"/>
    <d v="2024-02-03T00:00:00"/>
  </r>
  <r>
    <n v="98935"/>
    <s v="OS572"/>
    <x v="7"/>
    <n v="101.12"/>
    <n v="49"/>
    <n v="4954.88"/>
    <x v="296"/>
    <d v="2024-02-22T00:00:00"/>
  </r>
  <r>
    <n v="64754"/>
    <s v="CB356"/>
    <x v="41"/>
    <n v="158.66999999999999"/>
    <n v="28"/>
    <n v="4442.76"/>
    <x v="446"/>
    <d v="2024-08-02T00:00:00"/>
  </r>
  <r>
    <n v="98671"/>
    <s v="GB310"/>
    <x v="38"/>
    <n v="45.72"/>
    <n v="21"/>
    <n v="960.12"/>
    <x v="530"/>
    <d v="2024-07-27T00:00:00"/>
  </r>
  <r>
    <n v="16299"/>
    <s v="RR309"/>
    <x v="39"/>
    <n v="402.36"/>
    <n v="20"/>
    <n v="8047.2"/>
    <x v="175"/>
    <d v="2024-12-06T00:00:00"/>
  </r>
  <r>
    <n v="74827"/>
    <s v="HG412"/>
    <x v="25"/>
    <n v="972.24"/>
    <n v="5"/>
    <n v="4861.2"/>
    <x v="531"/>
    <d v="2023-12-10T00:00:00"/>
  </r>
  <r>
    <n v="28063"/>
    <s v="HN871"/>
    <x v="49"/>
    <n v="761.92"/>
    <n v="35"/>
    <n v="26667.200000000001"/>
    <x v="174"/>
    <d v="2024-04-28T00:00:00"/>
  </r>
  <r>
    <n v="65501"/>
    <s v="HG412"/>
    <x v="35"/>
    <n v="611.66"/>
    <n v="32"/>
    <n v="19573.12"/>
    <x v="24"/>
    <d v="2023-04-13T00:00:00"/>
  </r>
  <r>
    <n v="81410"/>
    <s v="HG412"/>
    <x v="5"/>
    <n v="622.16"/>
    <n v="17"/>
    <n v="10576.72"/>
    <x v="532"/>
    <d v="2023-08-04T00:00:00"/>
  </r>
  <r>
    <n v="42815"/>
    <s v="CB356"/>
    <x v="17"/>
    <n v="366.3"/>
    <n v="12"/>
    <n v="4395.6000000000004"/>
    <x v="533"/>
    <d v="2024-01-09T00:00:00"/>
  </r>
  <r>
    <n v="17122"/>
    <s v="PL284"/>
    <x v="0"/>
    <n v="855.99"/>
    <n v="38"/>
    <n v="32527.62"/>
    <x v="124"/>
    <d v="2023-08-22T00:00:00"/>
  </r>
  <r>
    <n v="84665"/>
    <s v="GP381"/>
    <x v="0"/>
    <n v="855.99"/>
    <n v="21"/>
    <n v="17975.79"/>
    <x v="333"/>
    <d v="2024-03-04T00:00:00"/>
  </r>
  <r>
    <n v="34716"/>
    <s v="HL575"/>
    <x v="36"/>
    <n v="796.51"/>
    <n v="5"/>
    <n v="3982.55"/>
    <x v="360"/>
    <d v="2024-10-05T00:00:00"/>
  </r>
  <r>
    <n v="89719"/>
    <s v="WI591"/>
    <x v="34"/>
    <n v="474.55"/>
    <n v="50"/>
    <n v="23727.5"/>
    <x v="534"/>
    <d v="2024-02-07T00:00:00"/>
  </r>
  <r>
    <n v="33753"/>
    <s v="FL553"/>
    <x v="19"/>
    <n v="682.74"/>
    <n v="33"/>
    <n v="22530.42"/>
    <x v="209"/>
    <d v="2024-12-16T00:00:00"/>
  </r>
  <r>
    <n v="18000"/>
    <s v="MT731"/>
    <x v="9"/>
    <n v="796.94"/>
    <n v="14"/>
    <n v="11157.16"/>
    <x v="535"/>
    <d v="2024-12-07T00:00:00"/>
  </r>
  <r>
    <n v="91756"/>
    <s v="PL284"/>
    <x v="43"/>
    <n v="870.6"/>
    <n v="4"/>
    <n v="3482.4"/>
    <x v="342"/>
    <d v="2023-11-01T00:00:00"/>
  </r>
  <r>
    <n v="87711"/>
    <s v="WD343"/>
    <x v="9"/>
    <n v="796.94"/>
    <n v="28"/>
    <n v="22314.32"/>
    <x v="536"/>
    <d v="2023-12-24T00:00:00"/>
  </r>
  <r>
    <n v="76716"/>
    <s v="HG412"/>
    <x v="41"/>
    <n v="158.66999999999999"/>
    <n v="47"/>
    <n v="7457.49"/>
    <x v="177"/>
    <d v="2024-01-27T00:00:00"/>
  </r>
  <r>
    <n v="68848"/>
    <s v="CB356"/>
    <x v="21"/>
    <n v="534.77"/>
    <n v="1"/>
    <n v="534.77"/>
    <x v="329"/>
    <d v="2023-03-03T00:00:00"/>
  </r>
  <r>
    <n v="86221"/>
    <s v="SV938"/>
    <x v="48"/>
    <n v="95.12"/>
    <n v="50"/>
    <n v="4756"/>
    <x v="501"/>
    <d v="2023-04-22T00:00:00"/>
  </r>
  <r>
    <n v="14394"/>
    <s v="BZ515"/>
    <x v="10"/>
    <n v="233.83"/>
    <n v="1"/>
    <n v="233.83"/>
    <x v="537"/>
    <d v="2023-10-06T00:00:00"/>
  </r>
  <r>
    <n v="44099"/>
    <s v="RR354"/>
    <x v="20"/>
    <n v="93.68"/>
    <n v="47"/>
    <n v="4402.96"/>
    <x v="126"/>
    <d v="2023-02-11T00:00:00"/>
  </r>
  <r>
    <n v="85851"/>
    <s v="MT731"/>
    <x v="39"/>
    <n v="402.36"/>
    <n v="16"/>
    <n v="6437.76"/>
    <x v="114"/>
    <d v="2023-03-06T00:00:00"/>
  </r>
  <r>
    <n v="56275"/>
    <s v="MT731"/>
    <x v="41"/>
    <n v="158.66999999999999"/>
    <n v="46"/>
    <n v="7298.82"/>
    <x v="136"/>
    <d v="2024-03-07T00:00:00"/>
  </r>
  <r>
    <n v="45931"/>
    <s v="OS572"/>
    <x v="1"/>
    <n v="683.98"/>
    <n v="36"/>
    <n v="24623.279999999999"/>
    <x v="538"/>
    <d v="2024-10-24T00:00:00"/>
  </r>
  <r>
    <n v="57217"/>
    <s v="WI591"/>
    <x v="0"/>
    <n v="855.99"/>
    <n v="36"/>
    <n v="30815.64"/>
    <x v="233"/>
    <d v="2023-10-16T00:00:00"/>
  </r>
  <r>
    <n v="26218"/>
    <s v="MT731"/>
    <x v="38"/>
    <n v="45.72"/>
    <n v="30"/>
    <n v="1371.6"/>
    <x v="539"/>
    <d v="2024-03-27T00:00:00"/>
  </r>
  <r>
    <n v="50847"/>
    <s v="SL727"/>
    <x v="29"/>
    <n v="404.9"/>
    <n v="25"/>
    <n v="10122.5"/>
    <x v="192"/>
    <d v="2024-03-10T00:00:00"/>
  </r>
  <r>
    <n v="19777"/>
    <s v="MT731"/>
    <x v="9"/>
    <n v="796.94"/>
    <n v="32"/>
    <n v="25502.080000000002"/>
    <x v="540"/>
    <d v="2023-04-27T00:00:00"/>
  </r>
  <r>
    <n v="80367"/>
    <s v="BL462"/>
    <x v="10"/>
    <n v="233.83"/>
    <n v="30"/>
    <n v="7014.9"/>
    <x v="42"/>
    <d v="2024-03-18T00:00:00"/>
  </r>
  <r>
    <n v="48573"/>
    <s v="GH786"/>
    <x v="31"/>
    <n v="346.37"/>
    <n v="3"/>
    <n v="1039.1099999999999"/>
    <x v="436"/>
    <d v="2023-01-26T00:00:00"/>
  </r>
  <r>
    <n v="80056"/>
    <s v="HG412"/>
    <x v="19"/>
    <n v="682.74"/>
    <n v="26"/>
    <n v="17751.240000000002"/>
    <x v="452"/>
    <d v="2024-04-10T00:00:00"/>
  </r>
  <r>
    <n v="66930"/>
    <s v="BL462"/>
    <x v="14"/>
    <n v="112.52"/>
    <n v="46"/>
    <n v="5175.92"/>
    <x v="194"/>
    <d v="2023-06-19T00:00:00"/>
  </r>
  <r>
    <n v="82857"/>
    <s v="RR309"/>
    <x v="36"/>
    <n v="796.51"/>
    <n v="22"/>
    <n v="17523.22"/>
    <x v="402"/>
    <d v="2023-01-25T00:00:00"/>
  </r>
  <r>
    <n v="70695"/>
    <s v="BL462"/>
    <x v="7"/>
    <n v="101.12"/>
    <n v="46"/>
    <n v="4651.5200000000004"/>
    <x v="182"/>
    <d v="2024-10-03T00:00:00"/>
  </r>
  <r>
    <n v="99343"/>
    <s v="RR354"/>
    <x v="6"/>
    <n v="222.47"/>
    <n v="27"/>
    <n v="6006.69"/>
    <x v="173"/>
    <d v="2024-01-27T00:00:00"/>
  </r>
  <r>
    <n v="81563"/>
    <s v="WD343"/>
    <x v="9"/>
    <n v="796.94"/>
    <n v="48"/>
    <n v="38253.120000000003"/>
    <x v="541"/>
    <d v="2023-12-01T00:00:00"/>
  </r>
  <r>
    <n v="44797"/>
    <s v="BZ515"/>
    <x v="9"/>
    <n v="796.94"/>
    <n v="38"/>
    <n v="30283.72"/>
    <x v="542"/>
    <d v="2024-10-14T00:00:00"/>
  </r>
  <r>
    <n v="52643"/>
    <s v="WI591"/>
    <x v="41"/>
    <n v="158.66999999999999"/>
    <n v="30"/>
    <n v="4760.1000000000004"/>
    <x v="64"/>
    <d v="2024-10-06T00:00:00"/>
  </r>
  <r>
    <n v="51260"/>
    <s v="BL462"/>
    <x v="25"/>
    <n v="972.24"/>
    <n v="16"/>
    <n v="15555.84"/>
    <x v="349"/>
    <d v="2024-01-21T00:00:00"/>
  </r>
  <r>
    <n v="33461"/>
    <s v="HL575"/>
    <x v="43"/>
    <n v="870.6"/>
    <n v="23"/>
    <n v="20023.8"/>
    <x v="119"/>
    <d v="2024-05-09T00:00:00"/>
  </r>
  <r>
    <n v="95415"/>
    <s v="MS200"/>
    <x v="25"/>
    <n v="972.24"/>
    <n v="29"/>
    <n v="28194.959999999999"/>
    <x v="424"/>
    <d v="2024-01-31T00:00:00"/>
  </r>
  <r>
    <n v="36541"/>
    <s v="HG412"/>
    <x v="12"/>
    <n v="875.47"/>
    <n v="45"/>
    <n v="39396.15"/>
    <x v="490"/>
    <d v="2023-02-12T00:00:00"/>
  </r>
  <r>
    <n v="62412"/>
    <s v="GP381"/>
    <x v="11"/>
    <n v="988.47"/>
    <n v="18"/>
    <n v="17792.46"/>
    <x v="385"/>
    <d v="2024-06-19T00:00:00"/>
  </r>
  <r>
    <n v="37349"/>
    <s v="GP381"/>
    <x v="2"/>
    <n v="68.05"/>
    <n v="13"/>
    <n v="884.65"/>
    <x v="401"/>
    <d v="2024-09-25T00:00:00"/>
  </r>
  <r>
    <n v="14097"/>
    <s v="GH786"/>
    <x v="32"/>
    <n v="184.57"/>
    <n v="23"/>
    <n v="4245.1099999999997"/>
    <x v="323"/>
    <d v="2023-09-28T00:00:00"/>
  </r>
  <r>
    <n v="41416"/>
    <s v="BZ515"/>
    <x v="4"/>
    <n v="546.64"/>
    <n v="23"/>
    <n v="12572.72"/>
    <x v="405"/>
    <d v="2023-05-03T00:00:00"/>
  </r>
  <r>
    <n v="64808"/>
    <s v="FL553"/>
    <x v="7"/>
    <n v="101.12"/>
    <n v="22"/>
    <n v="2224.64"/>
    <x v="435"/>
    <d v="2023-02-24T00:00:00"/>
  </r>
  <r>
    <n v="42892"/>
    <s v="SV938"/>
    <x v="21"/>
    <n v="534.77"/>
    <n v="5"/>
    <n v="2673.85"/>
    <x v="240"/>
    <d v="2023-04-16T00:00:00"/>
  </r>
  <r>
    <n v="36361"/>
    <s v="GH786"/>
    <x v="29"/>
    <n v="404.9"/>
    <n v="34"/>
    <n v="13766.6"/>
    <x v="543"/>
    <d v="2024-10-09T00:00:00"/>
  </r>
  <r>
    <n v="30613"/>
    <s v="CB356"/>
    <x v="40"/>
    <n v="795.19"/>
    <n v="40"/>
    <n v="31807.599999999999"/>
    <x v="544"/>
    <d v="2024-12-14T00:00:00"/>
  </r>
  <r>
    <n v="63440"/>
    <s v="PL284"/>
    <x v="8"/>
    <n v="596.97"/>
    <n v="47"/>
    <n v="28057.59"/>
    <x v="200"/>
    <d v="2024-09-17T00:00:00"/>
  </r>
  <r>
    <n v="10104"/>
    <s v="FL553"/>
    <x v="33"/>
    <n v="705.68"/>
    <n v="49"/>
    <n v="34578.32"/>
    <x v="492"/>
    <d v="2023-06-25T00:00:00"/>
  </r>
  <r>
    <n v="99603"/>
    <s v="RR354"/>
    <x v="45"/>
    <n v="890.84"/>
    <n v="6"/>
    <n v="5345.04"/>
    <x v="168"/>
    <d v="2023-05-09T00:00:00"/>
  </r>
  <r>
    <n v="58309"/>
    <s v="MT731"/>
    <x v="19"/>
    <n v="682.74"/>
    <n v="22"/>
    <n v="15020.28"/>
    <x v="545"/>
    <d v="2023-08-09T00:00:00"/>
  </r>
  <r>
    <n v="87600"/>
    <s v="BL462"/>
    <x v="33"/>
    <n v="705.68"/>
    <n v="28"/>
    <n v="19759.04"/>
    <x v="220"/>
    <d v="2023-09-09T00:00:00"/>
  </r>
  <r>
    <n v="13490"/>
    <s v="WD343"/>
    <x v="18"/>
    <n v="617.33000000000004"/>
    <n v="1"/>
    <n v="617.33000000000004"/>
    <x v="539"/>
    <d v="2023-10-26T00:00:00"/>
  </r>
  <r>
    <n v="91031"/>
    <s v="HN871"/>
    <x v="18"/>
    <n v="617.33000000000004"/>
    <n v="31"/>
    <n v="19137.23"/>
    <x v="524"/>
    <d v="2023-09-08T00:00:00"/>
  </r>
  <r>
    <n v="12774"/>
    <s v="GB310"/>
    <x v="7"/>
    <n v="101.12"/>
    <n v="13"/>
    <n v="1314.56"/>
    <x v="331"/>
    <d v="2023-06-19T00:00:00"/>
  </r>
  <r>
    <n v="10023"/>
    <s v="WD343"/>
    <x v="38"/>
    <n v="45.72"/>
    <n v="42"/>
    <n v="1920.24"/>
    <x v="489"/>
    <d v="2024-06-10T00:00:00"/>
  </r>
  <r>
    <n v="71981"/>
    <s v="RR309"/>
    <x v="20"/>
    <n v="93.68"/>
    <n v="22"/>
    <n v="2060.96"/>
    <x v="491"/>
    <d v="2023-10-02T00:00:00"/>
  </r>
  <r>
    <n v="17035"/>
    <s v="FL553"/>
    <x v="16"/>
    <n v="654.4"/>
    <n v="31"/>
    <n v="20286.400000000001"/>
    <x v="227"/>
    <d v="2023-01-29T00:00:00"/>
  </r>
  <r>
    <n v="73079"/>
    <s v="GP381"/>
    <x v="26"/>
    <n v="730.09"/>
    <n v="46"/>
    <n v="33584.14"/>
    <x v="135"/>
    <d v="2024-01-28T00:00:00"/>
  </r>
  <r>
    <n v="54449"/>
    <s v="OS572"/>
    <x v="34"/>
    <n v="474.55"/>
    <n v="20"/>
    <n v="9491"/>
    <x v="360"/>
    <d v="2023-08-28T00:00:00"/>
  </r>
  <r>
    <n v="96863"/>
    <s v="BZ515"/>
    <x v="21"/>
    <n v="534.77"/>
    <n v="50"/>
    <n v="26738.5"/>
    <x v="225"/>
    <d v="2023-12-29T00:00:00"/>
  </r>
  <r>
    <n v="35188"/>
    <s v="RR354"/>
    <x v="39"/>
    <n v="402.36"/>
    <n v="9"/>
    <n v="3621.24"/>
    <x v="228"/>
    <d v="2024-05-29T00:00:00"/>
  </r>
  <r>
    <n v="52446"/>
    <s v="SV938"/>
    <x v="2"/>
    <n v="68.05"/>
    <n v="43"/>
    <n v="2926.15"/>
    <x v="357"/>
    <d v="2024-04-10T00:00:00"/>
  </r>
  <r>
    <n v="65060"/>
    <s v="RR309"/>
    <x v="17"/>
    <n v="366.3"/>
    <n v="34"/>
    <n v="12454.2"/>
    <x v="546"/>
    <d v="2024-04-21T00:00:00"/>
  </r>
  <r>
    <n v="23519"/>
    <s v="HL575"/>
    <x v="9"/>
    <n v="796.94"/>
    <n v="9"/>
    <n v="7172.46"/>
    <x v="395"/>
    <d v="2024-05-21T00:00:00"/>
  </r>
  <r>
    <n v="34981"/>
    <s v="MT731"/>
    <x v="3"/>
    <n v="449.74"/>
    <n v="35"/>
    <n v="15740.9"/>
    <x v="494"/>
    <d v="2024-10-03T00:00:00"/>
  </r>
  <r>
    <n v="85862"/>
    <s v="CB356"/>
    <x v="49"/>
    <n v="761.92"/>
    <n v="27"/>
    <n v="20571.84"/>
    <x v="547"/>
    <d v="2024-02-02T00:00:00"/>
  </r>
  <r>
    <n v="41062"/>
    <s v="RR354"/>
    <x v="47"/>
    <n v="325"/>
    <n v="48"/>
    <n v="15600"/>
    <x v="35"/>
    <d v="2023-12-03T00:00:00"/>
  </r>
  <r>
    <n v="15898"/>
    <s v="MT731"/>
    <x v="17"/>
    <n v="366.3"/>
    <n v="24"/>
    <n v="8791.2000000000007"/>
    <x v="84"/>
    <d v="2023-02-21T00:00:00"/>
  </r>
  <r>
    <n v="56442"/>
    <s v="BL462"/>
    <x v="3"/>
    <n v="449.74"/>
    <n v="7"/>
    <n v="3148.18"/>
    <x v="521"/>
    <d v="2023-03-31T00:00:00"/>
  </r>
  <r>
    <n v="25333"/>
    <s v="PL284"/>
    <x v="30"/>
    <n v="988.73"/>
    <n v="21"/>
    <n v="20763.330000000002"/>
    <x v="389"/>
    <d v="2023-09-23T00:00:00"/>
  </r>
  <r>
    <n v="95447"/>
    <s v="GP381"/>
    <x v="44"/>
    <n v="913.18"/>
    <n v="26"/>
    <n v="23742.68"/>
    <x v="367"/>
    <d v="2023-07-13T00:00:00"/>
  </r>
  <r>
    <n v="10275"/>
    <s v="CB356"/>
    <x v="0"/>
    <n v="855.99"/>
    <n v="37"/>
    <n v="31671.63"/>
    <x v="511"/>
    <d v="2024-02-09T00:00:00"/>
  </r>
  <r>
    <n v="45092"/>
    <s v="FL553"/>
    <x v="4"/>
    <n v="546.64"/>
    <n v="23"/>
    <n v="12572.72"/>
    <x v="234"/>
    <d v="2023-05-26T00:00:00"/>
  </r>
  <r>
    <n v="25922"/>
    <s v="HN871"/>
    <x v="31"/>
    <n v="346.37"/>
    <n v="3"/>
    <n v="1039.1099999999999"/>
    <x v="34"/>
    <d v="2024-09-10T00:00:00"/>
  </r>
  <r>
    <n v="29824"/>
    <s v="SV938"/>
    <x v="48"/>
    <n v="95.12"/>
    <n v="35"/>
    <n v="3329.2"/>
    <x v="468"/>
    <d v="2023-08-10T00:00:00"/>
  </r>
  <r>
    <n v="40527"/>
    <s v="FL553"/>
    <x v="32"/>
    <n v="184.57"/>
    <n v="40"/>
    <n v="7382.8"/>
    <x v="139"/>
    <d v="2023-06-05T00:00:00"/>
  </r>
  <r>
    <n v="48706"/>
    <s v="GH786"/>
    <x v="2"/>
    <n v="68.05"/>
    <n v="6"/>
    <n v="408.3"/>
    <x v="74"/>
    <d v="2024-03-06T00:00:00"/>
  </r>
  <r>
    <n v="88750"/>
    <s v="BZ515"/>
    <x v="43"/>
    <n v="870.6"/>
    <n v="29"/>
    <n v="25247.4"/>
    <x v="366"/>
    <d v="2024-08-22T00:00:00"/>
  </r>
  <r>
    <n v="49303"/>
    <s v="GP381"/>
    <x v="34"/>
    <n v="474.55"/>
    <n v="13"/>
    <n v="6169.15"/>
    <x v="109"/>
    <d v="2023-08-08T00:00:00"/>
  </r>
  <r>
    <n v="42037"/>
    <s v="MS200"/>
    <x v="11"/>
    <n v="988.47"/>
    <n v="26"/>
    <n v="25700.22"/>
    <x v="234"/>
    <d v="2024-04-20T00:00:00"/>
  </r>
  <r>
    <n v="32167"/>
    <s v="MT731"/>
    <x v="16"/>
    <n v="654.4"/>
    <n v="3"/>
    <n v="1963.2"/>
    <x v="302"/>
    <d v="2023-04-04T00:00:00"/>
  </r>
  <r>
    <n v="18776"/>
    <s v="RR354"/>
    <x v="21"/>
    <n v="534.77"/>
    <n v="23"/>
    <n v="12299.71"/>
    <x v="452"/>
    <d v="2023-06-28T00:00:00"/>
  </r>
  <r>
    <n v="28123"/>
    <s v="HG412"/>
    <x v="31"/>
    <n v="346.37"/>
    <n v="31"/>
    <n v="10737.47"/>
    <x v="544"/>
    <d v="2024-02-28T00:00:00"/>
  </r>
  <r>
    <n v="60108"/>
    <s v="OS572"/>
    <x v="34"/>
    <n v="474.55"/>
    <n v="12"/>
    <n v="5694.6"/>
    <x v="481"/>
    <d v="2024-07-19T00:00:00"/>
  </r>
  <r>
    <n v="41641"/>
    <s v="RR354"/>
    <x v="35"/>
    <n v="611.66"/>
    <n v="18"/>
    <n v="11009.88"/>
    <x v="501"/>
    <d v="2023-06-21T00:00:00"/>
  </r>
  <r>
    <n v="49047"/>
    <s v="MT731"/>
    <x v="9"/>
    <n v="796.94"/>
    <n v="38"/>
    <n v="30283.72"/>
    <x v="410"/>
    <d v="2024-08-31T00:00:00"/>
  </r>
  <r>
    <n v="86591"/>
    <s v="MS200"/>
    <x v="37"/>
    <n v="753.12"/>
    <n v="4"/>
    <n v="3012.48"/>
    <x v="159"/>
    <d v="2023-08-07T00:00:00"/>
  </r>
  <r>
    <n v="81848"/>
    <s v="HN871"/>
    <x v="9"/>
    <n v="796.94"/>
    <n v="43"/>
    <n v="34268.42"/>
    <x v="475"/>
    <d v="2024-10-28T00:00:00"/>
  </r>
  <r>
    <n v="11044"/>
    <s v="HG412"/>
    <x v="29"/>
    <n v="404.9"/>
    <n v="40"/>
    <n v="16196"/>
    <x v="392"/>
    <d v="2023-05-17T00:00:00"/>
  </r>
  <r>
    <n v="30992"/>
    <s v="BZ515"/>
    <x v="20"/>
    <n v="93.68"/>
    <n v="39"/>
    <n v="3653.52"/>
    <x v="548"/>
    <d v="2023-12-28T00:00:00"/>
  </r>
  <r>
    <n v="67822"/>
    <s v="CB356"/>
    <x v="40"/>
    <n v="795.19"/>
    <n v="34"/>
    <n v="27036.46"/>
    <x v="549"/>
    <d v="2024-05-01T00:00:00"/>
  </r>
  <r>
    <n v="29764"/>
    <s v="MS200"/>
    <x v="46"/>
    <n v="346.4"/>
    <n v="22"/>
    <n v="7620.8"/>
    <x v="439"/>
    <d v="2024-11-22T00:00:00"/>
  </r>
  <r>
    <n v="96235"/>
    <s v="PL284"/>
    <x v="34"/>
    <n v="474.55"/>
    <n v="30"/>
    <n v="14236.5"/>
    <x v="229"/>
    <d v="2024-01-27T00:00:00"/>
  </r>
  <r>
    <n v="16806"/>
    <s v="BL462"/>
    <x v="24"/>
    <n v="323.73"/>
    <n v="36"/>
    <n v="11654.28"/>
    <x v="113"/>
    <d v="2024-06-08T00:00:00"/>
  </r>
  <r>
    <n v="28485"/>
    <s v="OS572"/>
    <x v="13"/>
    <n v="110.41"/>
    <n v="27"/>
    <n v="2981.07"/>
    <x v="383"/>
    <d v="2024-07-24T00:00:00"/>
  </r>
  <r>
    <n v="37195"/>
    <s v="CB356"/>
    <x v="20"/>
    <n v="93.68"/>
    <n v="10"/>
    <n v="936.8"/>
    <x v="550"/>
    <d v="2023-04-19T00:00:00"/>
  </r>
  <r>
    <n v="48715"/>
    <s v="BZ515"/>
    <x v="33"/>
    <n v="705.68"/>
    <n v="26"/>
    <n v="18347.68"/>
    <x v="551"/>
    <d v="2024-04-25T00:00:00"/>
  </r>
  <r>
    <n v="60297"/>
    <s v="RR309"/>
    <x v="6"/>
    <n v="222.47"/>
    <n v="18"/>
    <n v="4004.46"/>
    <x v="552"/>
    <d v="2024-09-21T00:00:00"/>
  </r>
  <r>
    <n v="37454"/>
    <s v="BZ515"/>
    <x v="25"/>
    <n v="972.24"/>
    <n v="8"/>
    <n v="7777.92"/>
    <x v="231"/>
    <d v="2024-07-06T00:00:00"/>
  </r>
  <r>
    <n v="59201"/>
    <s v="OS572"/>
    <x v="11"/>
    <n v="988.47"/>
    <n v="21"/>
    <n v="20757.87"/>
    <x v="5"/>
    <d v="2023-12-23T00:00:00"/>
  </r>
  <r>
    <n v="15078"/>
    <s v="MS200"/>
    <x v="26"/>
    <n v="730.09"/>
    <n v="44"/>
    <n v="32123.96"/>
    <x v="163"/>
    <d v="2024-10-13T00:00:00"/>
  </r>
  <r>
    <n v="79957"/>
    <s v="SV938"/>
    <x v="23"/>
    <n v="533.15"/>
    <n v="49"/>
    <n v="26124.35"/>
    <x v="303"/>
    <d v="2023-05-10T00:00:00"/>
  </r>
  <r>
    <n v="66604"/>
    <s v="MT731"/>
    <x v="7"/>
    <n v="101.12"/>
    <n v="12"/>
    <n v="1213.44"/>
    <x v="20"/>
    <d v="2023-08-31T00:00:00"/>
  </r>
  <r>
    <n v="82595"/>
    <s v="FL553"/>
    <x v="28"/>
    <n v="641.34"/>
    <n v="7"/>
    <n v="4489.38"/>
    <x v="259"/>
    <d v="2024-10-17T00:00:00"/>
  </r>
  <r>
    <n v="68834"/>
    <s v="GP381"/>
    <x v="4"/>
    <n v="546.64"/>
    <n v="9"/>
    <n v="4919.76"/>
    <x v="452"/>
    <d v="2023-03-07T00:00:00"/>
  </r>
  <r>
    <n v="29529"/>
    <s v="PL284"/>
    <x v="15"/>
    <n v="608.37"/>
    <n v="32"/>
    <n v="19467.84"/>
    <x v="412"/>
    <d v="2024-02-15T00:00:00"/>
  </r>
  <r>
    <n v="76336"/>
    <s v="BL462"/>
    <x v="10"/>
    <n v="233.83"/>
    <n v="3"/>
    <n v="701.49"/>
    <x v="400"/>
    <d v="2024-04-02T00:00:00"/>
  </r>
  <r>
    <n v="84006"/>
    <s v="HL575"/>
    <x v="16"/>
    <n v="654.4"/>
    <n v="7"/>
    <n v="4580.8"/>
    <x v="64"/>
    <d v="2024-12-15T00:00:00"/>
  </r>
  <r>
    <n v="88218"/>
    <s v="FL553"/>
    <x v="33"/>
    <n v="705.68"/>
    <n v="28"/>
    <n v="19759.04"/>
    <x v="143"/>
    <d v="2023-11-20T00:00:00"/>
  </r>
  <r>
    <n v="45527"/>
    <s v="MS200"/>
    <x v="40"/>
    <n v="795.19"/>
    <n v="20"/>
    <n v="15903.8"/>
    <x v="268"/>
    <d v="2024-06-09T00:00:00"/>
  </r>
  <r>
    <n v="61692"/>
    <s v="OS572"/>
    <x v="5"/>
    <n v="622.16"/>
    <n v="4"/>
    <n v="2488.64"/>
    <x v="177"/>
    <d v="2024-03-20T00:00:00"/>
  </r>
  <r>
    <n v="60618"/>
    <s v="MT731"/>
    <x v="13"/>
    <n v="110.41"/>
    <n v="33"/>
    <n v="3643.53"/>
    <x v="420"/>
    <d v="2024-07-23T00:00:00"/>
  </r>
  <r>
    <n v="27478"/>
    <s v="HL575"/>
    <x v="10"/>
    <n v="233.83"/>
    <n v="20"/>
    <n v="4676.6000000000004"/>
    <x v="488"/>
    <d v="2024-07-16T00:00:00"/>
  </r>
  <r>
    <n v="76035"/>
    <s v="CB356"/>
    <x v="46"/>
    <n v="346.4"/>
    <n v="25"/>
    <n v="8660"/>
    <x v="485"/>
    <d v="2023-06-06T00:00:00"/>
  </r>
  <r>
    <n v="67834"/>
    <s v="PL284"/>
    <x v="5"/>
    <n v="622.16"/>
    <n v="39"/>
    <n v="24264.240000000002"/>
    <x v="553"/>
    <d v="2024-06-24T00:00:00"/>
  </r>
  <r>
    <n v="29100"/>
    <s v="RR354"/>
    <x v="40"/>
    <n v="795.19"/>
    <n v="25"/>
    <n v="19879.75"/>
    <x v="554"/>
    <d v="2023-08-07T00:00:00"/>
  </r>
  <r>
    <n v="64182"/>
    <s v="WD343"/>
    <x v="46"/>
    <n v="346.4"/>
    <n v="32"/>
    <n v="11084.8"/>
    <x v="162"/>
    <d v="2024-12-08T00:00:00"/>
  </r>
  <r>
    <n v="74411"/>
    <s v="CB356"/>
    <x v="0"/>
    <n v="855.99"/>
    <n v="19"/>
    <n v="16263.81"/>
    <x v="86"/>
    <d v="2024-06-15T00:00:00"/>
  </r>
  <r>
    <n v="49483"/>
    <s v="BZ515"/>
    <x v="10"/>
    <n v="233.83"/>
    <n v="50"/>
    <n v="11691.5"/>
    <x v="555"/>
    <d v="2023-12-08T00:00:00"/>
  </r>
  <r>
    <n v="59215"/>
    <s v="GB310"/>
    <x v="27"/>
    <n v="399.32"/>
    <n v="48"/>
    <n v="19167.36"/>
    <x v="556"/>
    <d v="2024-09-06T00:00:00"/>
  </r>
  <r>
    <n v="43698"/>
    <s v="BL462"/>
    <x v="8"/>
    <n v="596.97"/>
    <n v="26"/>
    <n v="15521.22"/>
    <x v="424"/>
    <d v="2023-06-16T00:00:00"/>
  </r>
  <r>
    <n v="78708"/>
    <s v="WD343"/>
    <x v="1"/>
    <n v="683.98"/>
    <n v="4"/>
    <n v="2735.92"/>
    <x v="44"/>
    <d v="2023-12-28T00:00:00"/>
  </r>
  <r>
    <n v="60782"/>
    <s v="GH786"/>
    <x v="8"/>
    <n v="596.97"/>
    <n v="43"/>
    <n v="25669.71"/>
    <x v="132"/>
    <d v="2024-07-06T00:00:00"/>
  </r>
  <r>
    <n v="82940"/>
    <s v="BL462"/>
    <x v="15"/>
    <n v="608.37"/>
    <n v="43"/>
    <n v="26159.91"/>
    <x v="458"/>
    <d v="2023-11-13T00:00:00"/>
  </r>
  <r>
    <n v="77244"/>
    <s v="BZ515"/>
    <x v="27"/>
    <n v="399.32"/>
    <n v="41"/>
    <n v="16372.12"/>
    <x v="299"/>
    <d v="2024-05-21T00:00:00"/>
  </r>
  <r>
    <n v="16945"/>
    <s v="GH786"/>
    <x v="14"/>
    <n v="112.52"/>
    <n v="38"/>
    <n v="4275.76"/>
    <x v="557"/>
    <d v="2024-08-29T00:00:00"/>
  </r>
  <r>
    <n v="48607"/>
    <s v="HG412"/>
    <x v="12"/>
    <n v="875.47"/>
    <n v="13"/>
    <n v="11381.11"/>
    <x v="558"/>
    <d v="2023-11-27T00:00:00"/>
  </r>
  <r>
    <n v="11708"/>
    <s v="HG412"/>
    <x v="39"/>
    <n v="402.36"/>
    <n v="39"/>
    <n v="15692.04"/>
    <x v="498"/>
    <d v="2023-04-13T00:00:00"/>
  </r>
  <r>
    <n v="13374"/>
    <s v="OS572"/>
    <x v="5"/>
    <n v="622.16"/>
    <n v="27"/>
    <n v="16798.32"/>
    <x v="447"/>
    <d v="2023-11-05T00:00:00"/>
  </r>
  <r>
    <n v="77882"/>
    <s v="GB310"/>
    <x v="14"/>
    <n v="112.52"/>
    <n v="3"/>
    <n v="337.56"/>
    <x v="559"/>
    <d v="2023-07-17T00:00:00"/>
  </r>
  <r>
    <n v="69995"/>
    <s v="RR354"/>
    <x v="10"/>
    <n v="233.83"/>
    <n v="6"/>
    <n v="1402.98"/>
    <x v="361"/>
    <d v="2023-05-16T00:00:00"/>
  </r>
  <r>
    <n v="48949"/>
    <s v="SL727"/>
    <x v="16"/>
    <n v="654.4"/>
    <n v="18"/>
    <n v="11779.2"/>
    <x v="86"/>
    <d v="2024-08-05T00:00:00"/>
  </r>
  <r>
    <n v="56249"/>
    <s v="OS572"/>
    <x v="34"/>
    <n v="474.55"/>
    <n v="4"/>
    <n v="1898.2"/>
    <x v="370"/>
    <d v="2024-03-18T00:00:00"/>
  </r>
  <r>
    <n v="56328"/>
    <s v="FL553"/>
    <x v="36"/>
    <n v="796.51"/>
    <n v="49"/>
    <n v="39028.99"/>
    <x v="25"/>
    <d v="2024-04-07T00:00:00"/>
  </r>
  <r>
    <n v="35480"/>
    <s v="SV938"/>
    <x v="14"/>
    <n v="112.52"/>
    <n v="50"/>
    <n v="5626"/>
    <x v="13"/>
    <d v="2023-11-24T00:00:00"/>
  </r>
  <r>
    <n v="40804"/>
    <s v="MT731"/>
    <x v="28"/>
    <n v="641.34"/>
    <n v="20"/>
    <n v="12826.8"/>
    <x v="468"/>
    <d v="2024-08-23T00:00:00"/>
  </r>
  <r>
    <n v="73796"/>
    <s v="WI591"/>
    <x v="0"/>
    <n v="855.99"/>
    <n v="28"/>
    <n v="23967.72"/>
    <x v="34"/>
    <d v="2023-06-25T00:00:00"/>
  </r>
  <r>
    <n v="65836"/>
    <s v="BZ515"/>
    <x v="22"/>
    <n v="468.95"/>
    <n v="22"/>
    <n v="10316.9"/>
    <x v="104"/>
    <d v="2023-05-31T00:00:00"/>
  </r>
  <r>
    <n v="70243"/>
    <s v="OS572"/>
    <x v="40"/>
    <n v="795.19"/>
    <n v="16"/>
    <n v="12723.04"/>
    <x v="560"/>
    <d v="2024-07-22T00:00:00"/>
  </r>
  <r>
    <n v="21507"/>
    <s v="WI591"/>
    <x v="34"/>
    <n v="474.55"/>
    <n v="21"/>
    <n v="9965.5499999999993"/>
    <x v="248"/>
    <d v="2024-06-10T00:00:00"/>
  </r>
  <r>
    <n v="39273"/>
    <s v="RR354"/>
    <x v="32"/>
    <n v="184.57"/>
    <n v="36"/>
    <n v="6644.52"/>
    <x v="561"/>
    <d v="2024-08-23T00:00:00"/>
  </r>
  <r>
    <n v="57312"/>
    <s v="OS572"/>
    <x v="48"/>
    <n v="95.12"/>
    <n v="28"/>
    <n v="2663.36"/>
    <x v="225"/>
    <d v="2024-12-08T00:00:00"/>
  </r>
  <r>
    <n v="35200"/>
    <s v="BZ515"/>
    <x v="2"/>
    <n v="68.05"/>
    <n v="4"/>
    <n v="272.2"/>
    <x v="313"/>
    <d v="2024-04-11T00:00:00"/>
  </r>
  <r>
    <n v="12827"/>
    <s v="HG412"/>
    <x v="4"/>
    <n v="546.64"/>
    <n v="26"/>
    <n v="14212.64"/>
    <x v="399"/>
    <d v="2024-03-01T00:00:00"/>
  </r>
  <r>
    <n v="72981"/>
    <s v="BL462"/>
    <x v="20"/>
    <n v="93.68"/>
    <n v="25"/>
    <n v="2342"/>
    <x v="562"/>
    <d v="2024-12-01T00:00:00"/>
  </r>
  <r>
    <n v="97477"/>
    <s v="GP381"/>
    <x v="25"/>
    <n v="972.24"/>
    <n v="7"/>
    <n v="6805.68"/>
    <x v="182"/>
    <d v="2023-07-09T00:00:00"/>
  </r>
  <r>
    <n v="69317"/>
    <s v="SL727"/>
    <x v="31"/>
    <n v="346.37"/>
    <n v="40"/>
    <n v="13854.8"/>
    <x v="146"/>
    <d v="2023-06-08T00:00:00"/>
  </r>
  <r>
    <n v="20096"/>
    <s v="HG412"/>
    <x v="35"/>
    <n v="611.66"/>
    <n v="16"/>
    <n v="9786.56"/>
    <x v="563"/>
    <d v="2023-04-20T00:00:00"/>
  </r>
  <r>
    <n v="69091"/>
    <s v="CB356"/>
    <x v="29"/>
    <n v="404.9"/>
    <n v="41"/>
    <n v="16600.900000000001"/>
    <x v="82"/>
    <d v="2024-09-03T00:00:00"/>
  </r>
  <r>
    <n v="89796"/>
    <s v="HN871"/>
    <x v="44"/>
    <n v="913.18"/>
    <n v="27"/>
    <n v="24655.86"/>
    <x v="563"/>
    <d v="2024-07-05T00:00:00"/>
  </r>
  <r>
    <n v="56718"/>
    <s v="GH786"/>
    <x v="31"/>
    <n v="346.37"/>
    <n v="12"/>
    <n v="4156.4399999999996"/>
    <x v="279"/>
    <d v="2023-06-18T00:00:00"/>
  </r>
  <r>
    <n v="30658"/>
    <s v="FL553"/>
    <x v="17"/>
    <n v="366.3"/>
    <n v="1"/>
    <n v="366.3"/>
    <x v="450"/>
    <d v="2023-03-30T00:00:00"/>
  </r>
  <r>
    <n v="70885"/>
    <s v="OS572"/>
    <x v="26"/>
    <n v="730.09"/>
    <n v="10"/>
    <n v="7300.9"/>
    <x v="559"/>
    <d v="2023-04-17T00:00:00"/>
  </r>
  <r>
    <n v="47939"/>
    <s v="MS200"/>
    <x v="6"/>
    <n v="222.47"/>
    <n v="15"/>
    <n v="3337.05"/>
    <x v="500"/>
    <d v="2023-04-07T00:00:00"/>
  </r>
  <r>
    <n v="42933"/>
    <s v="GP381"/>
    <x v="29"/>
    <n v="404.9"/>
    <n v="9"/>
    <n v="3644.1"/>
    <x v="309"/>
    <d v="2024-11-16T00:00:00"/>
  </r>
  <r>
    <n v="87510"/>
    <s v="OS572"/>
    <x v="42"/>
    <n v="430.1"/>
    <n v="2"/>
    <n v="860.2"/>
    <x v="516"/>
    <d v="2023-05-28T00:00:00"/>
  </r>
  <r>
    <n v="46401"/>
    <s v="MS200"/>
    <x v="49"/>
    <n v="761.92"/>
    <n v="12"/>
    <n v="9143.0400000000009"/>
    <x v="421"/>
    <d v="2024-09-29T00:00:00"/>
  </r>
  <r>
    <n v="33885"/>
    <s v="BL462"/>
    <x v="44"/>
    <n v="913.18"/>
    <n v="3"/>
    <n v="2739.54"/>
    <x v="231"/>
    <d v="2023-01-22T00:00:00"/>
  </r>
  <r>
    <n v="57330"/>
    <s v="GH786"/>
    <x v="37"/>
    <n v="753.12"/>
    <n v="12"/>
    <n v="9037.44"/>
    <x v="234"/>
    <d v="2024-10-30T00:00:00"/>
  </r>
  <r>
    <n v="72312"/>
    <s v="MS200"/>
    <x v="49"/>
    <n v="761.92"/>
    <n v="13"/>
    <n v="9904.9599999999991"/>
    <x v="112"/>
    <d v="2023-12-17T00:00:00"/>
  </r>
  <r>
    <n v="92259"/>
    <s v="MS200"/>
    <x v="28"/>
    <n v="641.34"/>
    <n v="5"/>
    <n v="3206.7"/>
    <x v="359"/>
    <d v="2024-07-20T00:00:00"/>
  </r>
  <r>
    <n v="75119"/>
    <s v="RR309"/>
    <x v="20"/>
    <n v="93.68"/>
    <n v="50"/>
    <n v="4684"/>
    <x v="564"/>
    <d v="2023-04-26T00:00:00"/>
  </r>
  <r>
    <n v="50963"/>
    <s v="WI591"/>
    <x v="25"/>
    <n v="972.24"/>
    <n v="39"/>
    <n v="37917.360000000001"/>
    <x v="537"/>
    <d v="2023-10-06T00:00:00"/>
  </r>
  <r>
    <n v="98142"/>
    <s v="SV938"/>
    <x v="49"/>
    <n v="761.92"/>
    <n v="40"/>
    <n v="30476.799999999999"/>
    <x v="565"/>
    <d v="2023-06-03T00:00:00"/>
  </r>
  <r>
    <n v="46576"/>
    <s v="GP381"/>
    <x v="24"/>
    <n v="323.73"/>
    <n v="41"/>
    <n v="13272.93"/>
    <x v="163"/>
    <d v="2023-09-14T00:00:00"/>
  </r>
  <r>
    <n v="14091"/>
    <s v="MS200"/>
    <x v="25"/>
    <n v="972.24"/>
    <n v="42"/>
    <n v="40834.080000000002"/>
    <x v="343"/>
    <d v="2024-11-13T00:00:00"/>
  </r>
  <r>
    <n v="33103"/>
    <s v="WI591"/>
    <x v="33"/>
    <n v="705.68"/>
    <n v="35"/>
    <n v="24698.799999999999"/>
    <x v="566"/>
    <d v="2023-12-30T00:00:00"/>
  </r>
  <r>
    <n v="12650"/>
    <s v="BL462"/>
    <x v="13"/>
    <n v="110.41"/>
    <n v="14"/>
    <n v="1545.74"/>
    <x v="266"/>
    <d v="2023-11-25T00:00:00"/>
  </r>
  <r>
    <n v="33363"/>
    <s v="OS572"/>
    <x v="27"/>
    <n v="399.32"/>
    <n v="33"/>
    <n v="13177.56"/>
    <x v="247"/>
    <d v="2024-06-09T00:00:00"/>
  </r>
  <r>
    <n v="89166"/>
    <s v="BZ515"/>
    <x v="31"/>
    <n v="346.37"/>
    <n v="33"/>
    <n v="11430.21"/>
    <x v="368"/>
    <d v="2023-01-24T00:00:00"/>
  </r>
  <r>
    <n v="60532"/>
    <s v="WI591"/>
    <x v="29"/>
    <n v="404.9"/>
    <n v="18"/>
    <n v="7288.2"/>
    <x v="107"/>
    <d v="2024-12-03T00:00:00"/>
  </r>
  <r>
    <n v="53813"/>
    <s v="WI591"/>
    <x v="25"/>
    <n v="972.24"/>
    <n v="45"/>
    <n v="43750.8"/>
    <x v="567"/>
    <d v="2024-12-07T00:00:00"/>
  </r>
  <r>
    <n v="29165"/>
    <s v="RR354"/>
    <x v="30"/>
    <n v="988.73"/>
    <n v="18"/>
    <n v="17797.14"/>
    <x v="165"/>
    <d v="2023-10-22T00:00:00"/>
  </r>
  <r>
    <n v="67163"/>
    <s v="WD343"/>
    <x v="43"/>
    <n v="870.6"/>
    <n v="33"/>
    <n v="28729.8"/>
    <x v="120"/>
    <d v="2023-08-14T00:00:00"/>
  </r>
  <r>
    <n v="28097"/>
    <s v="SL727"/>
    <x v="37"/>
    <n v="753.12"/>
    <n v="40"/>
    <n v="30124.799999999999"/>
    <x v="216"/>
    <d v="2024-01-19T00:00:00"/>
  </r>
  <r>
    <n v="87073"/>
    <s v="SV938"/>
    <x v="9"/>
    <n v="796.94"/>
    <n v="6"/>
    <n v="4781.6400000000003"/>
    <x v="258"/>
    <d v="2024-05-06T00:00:00"/>
  </r>
  <r>
    <n v="56949"/>
    <s v="HL575"/>
    <x v="31"/>
    <n v="346.37"/>
    <n v="5"/>
    <n v="1731.85"/>
    <x v="185"/>
    <d v="2024-07-23T00:00:00"/>
  </r>
  <r>
    <n v="86700"/>
    <s v="HL575"/>
    <x v="40"/>
    <n v="795.19"/>
    <n v="40"/>
    <n v="31807.599999999999"/>
    <x v="568"/>
    <d v="2023-12-05T00:00:00"/>
  </r>
  <r>
    <n v="88891"/>
    <s v="FL553"/>
    <x v="38"/>
    <n v="45.72"/>
    <n v="23"/>
    <n v="1051.56"/>
    <x v="135"/>
    <d v="2024-03-03T00:00:00"/>
  </r>
  <r>
    <n v="53363"/>
    <s v="BZ515"/>
    <x v="26"/>
    <n v="730.09"/>
    <n v="31"/>
    <n v="22632.79"/>
    <x v="211"/>
    <d v="2024-08-26T00:00:00"/>
  </r>
  <r>
    <n v="16018"/>
    <s v="WD343"/>
    <x v="28"/>
    <n v="641.34"/>
    <n v="39"/>
    <n v="25012.26"/>
    <x v="210"/>
    <d v="2024-03-21T00:00:00"/>
  </r>
  <r>
    <n v="61483"/>
    <s v="GH786"/>
    <x v="21"/>
    <n v="534.77"/>
    <n v="34"/>
    <n v="18182.18"/>
    <x v="568"/>
    <d v="2023-03-29T00:00:00"/>
  </r>
  <r>
    <n v="64918"/>
    <s v="SV938"/>
    <x v="14"/>
    <n v="112.52"/>
    <n v="16"/>
    <n v="1800.32"/>
    <x v="306"/>
    <d v="2023-03-10T00:00:00"/>
  </r>
  <r>
    <n v="47483"/>
    <s v="MS200"/>
    <x v="8"/>
    <n v="596.97"/>
    <n v="8"/>
    <n v="4775.76"/>
    <x v="540"/>
    <d v="2024-01-14T00:00:00"/>
  </r>
  <r>
    <n v="38096"/>
    <s v="WI591"/>
    <x v="19"/>
    <n v="682.74"/>
    <n v="42"/>
    <n v="28675.08"/>
    <x v="569"/>
    <d v="2023-05-15T00:00:00"/>
  </r>
  <r>
    <n v="78404"/>
    <s v="SL727"/>
    <x v="23"/>
    <n v="533.15"/>
    <n v="6"/>
    <n v="3198.9"/>
    <x v="230"/>
    <d v="2023-07-30T00:00:00"/>
  </r>
  <r>
    <n v="83081"/>
    <s v="SL727"/>
    <x v="14"/>
    <n v="112.52"/>
    <n v="20"/>
    <n v="2250.4"/>
    <x v="267"/>
    <d v="2024-09-16T00:00:00"/>
  </r>
  <r>
    <n v="82858"/>
    <s v="SV938"/>
    <x v="15"/>
    <n v="608.37"/>
    <n v="27"/>
    <n v="16425.990000000002"/>
    <x v="225"/>
    <d v="2024-01-13T00:00:00"/>
  </r>
  <r>
    <n v="74054"/>
    <s v="WI591"/>
    <x v="26"/>
    <n v="730.09"/>
    <n v="19"/>
    <n v="13871.71"/>
    <x v="557"/>
    <d v="2024-07-05T00:00:00"/>
  </r>
  <r>
    <n v="61825"/>
    <s v="BZ515"/>
    <x v="26"/>
    <n v="730.09"/>
    <n v="10"/>
    <n v="7300.9"/>
    <x v="24"/>
    <d v="2024-04-02T00:00:00"/>
  </r>
  <r>
    <n v="99026"/>
    <s v="RR354"/>
    <x v="12"/>
    <n v="875.47"/>
    <n v="42"/>
    <n v="36769.74"/>
    <x v="570"/>
    <d v="2024-06-25T00:00:00"/>
  </r>
  <r>
    <n v="81562"/>
    <s v="SL727"/>
    <x v="12"/>
    <n v="875.47"/>
    <n v="45"/>
    <n v="39396.15"/>
    <x v="107"/>
    <d v="2024-02-10T00:00:00"/>
  </r>
  <r>
    <n v="17781"/>
    <s v="BZ515"/>
    <x v="12"/>
    <n v="875.47"/>
    <n v="30"/>
    <n v="26264.1"/>
    <x v="188"/>
    <d v="2023-09-14T00:00:00"/>
  </r>
  <r>
    <n v="40551"/>
    <s v="BL462"/>
    <x v="15"/>
    <n v="608.37"/>
    <n v="45"/>
    <n v="27376.65"/>
    <x v="6"/>
    <d v="2024-04-11T00:00:00"/>
  </r>
  <r>
    <n v="94376"/>
    <s v="RR354"/>
    <x v="25"/>
    <n v="972.24"/>
    <n v="5"/>
    <n v="4861.2"/>
    <x v="522"/>
    <d v="2024-05-08T00:00:00"/>
  </r>
  <r>
    <n v="44873"/>
    <s v="FL553"/>
    <x v="27"/>
    <n v="399.32"/>
    <n v="17"/>
    <n v="6788.44"/>
    <x v="571"/>
    <d v="2023-11-20T00:00:00"/>
  </r>
  <r>
    <n v="67390"/>
    <s v="RR354"/>
    <x v="43"/>
    <n v="870.6"/>
    <n v="29"/>
    <n v="25247.4"/>
    <x v="500"/>
    <d v="2024-04-08T00:00:00"/>
  </r>
  <r>
    <n v="79280"/>
    <s v="SV938"/>
    <x v="36"/>
    <n v="796.51"/>
    <n v="45"/>
    <n v="35842.949999999997"/>
    <x v="572"/>
    <d v="2024-08-28T00:00:00"/>
  </r>
  <r>
    <n v="88177"/>
    <s v="HL575"/>
    <x v="35"/>
    <n v="611.66"/>
    <n v="6"/>
    <n v="3669.96"/>
    <x v="342"/>
    <d v="2023-10-12T00:00:00"/>
  </r>
  <r>
    <n v="23836"/>
    <s v="HN871"/>
    <x v="9"/>
    <n v="796.94"/>
    <n v="16"/>
    <n v="12751.04"/>
    <x v="248"/>
    <d v="2023-03-27T00:00:00"/>
  </r>
  <r>
    <n v="72090"/>
    <s v="GH786"/>
    <x v="25"/>
    <n v="972.24"/>
    <n v="48"/>
    <n v="46667.519999999997"/>
    <x v="573"/>
    <d v="2024-03-22T00:00:00"/>
  </r>
  <r>
    <n v="43820"/>
    <s v="GP381"/>
    <x v="0"/>
    <n v="855.99"/>
    <n v="19"/>
    <n v="16263.81"/>
    <x v="574"/>
    <d v="2024-06-25T00:00:00"/>
  </r>
  <r>
    <n v="41210"/>
    <s v="MS200"/>
    <x v="38"/>
    <n v="45.72"/>
    <n v="9"/>
    <n v="411.48"/>
    <x v="575"/>
    <d v="2024-03-26T00:00:00"/>
  </r>
  <r>
    <n v="22997"/>
    <s v="HL575"/>
    <x v="28"/>
    <n v="641.34"/>
    <n v="27"/>
    <n v="17316.18"/>
    <x v="576"/>
    <d v="2024-07-06T00:00:00"/>
  </r>
  <r>
    <n v="75703"/>
    <s v="HN871"/>
    <x v="2"/>
    <n v="68.05"/>
    <n v="4"/>
    <n v="272.2"/>
    <x v="215"/>
    <d v="2023-02-19T00:00:00"/>
  </r>
  <r>
    <n v="88853"/>
    <s v="SV938"/>
    <x v="32"/>
    <n v="184.57"/>
    <n v="25"/>
    <n v="4614.25"/>
    <x v="108"/>
    <d v="2024-08-13T00:00:00"/>
  </r>
  <r>
    <n v="18453"/>
    <s v="GB310"/>
    <x v="16"/>
    <n v="654.4"/>
    <n v="37"/>
    <n v="24212.799999999999"/>
    <x v="29"/>
    <d v="2023-07-11T00:00:00"/>
  </r>
  <r>
    <n v="23168"/>
    <s v="BL462"/>
    <x v="21"/>
    <n v="534.77"/>
    <n v="2"/>
    <n v="1069.54"/>
    <x v="432"/>
    <d v="2023-07-18T00:00:00"/>
  </r>
  <r>
    <n v="35409"/>
    <s v="HL575"/>
    <x v="10"/>
    <n v="233.83"/>
    <n v="37"/>
    <n v="8651.7099999999991"/>
    <x v="448"/>
    <d v="2023-12-30T00:00:00"/>
  </r>
  <r>
    <n v="86808"/>
    <s v="BZ515"/>
    <x v="34"/>
    <n v="474.55"/>
    <n v="2"/>
    <n v="949.1"/>
    <x v="577"/>
    <d v="2023-08-07T00:00:00"/>
  </r>
  <r>
    <n v="19309"/>
    <s v="OS572"/>
    <x v="18"/>
    <n v="617.33000000000004"/>
    <n v="29"/>
    <n v="17902.57"/>
    <x v="103"/>
    <d v="2024-05-31T00:00:00"/>
  </r>
  <r>
    <n v="65205"/>
    <s v="WD343"/>
    <x v="32"/>
    <n v="184.57"/>
    <n v="2"/>
    <n v="369.14"/>
    <x v="506"/>
    <d v="2023-05-28T00:00:00"/>
  </r>
  <r>
    <n v="91356"/>
    <s v="MT731"/>
    <x v="44"/>
    <n v="913.18"/>
    <n v="10"/>
    <n v="9131.7999999999993"/>
    <x v="159"/>
    <d v="2023-02-14T00:00:00"/>
  </r>
  <r>
    <n v="59537"/>
    <s v="SL727"/>
    <x v="41"/>
    <n v="158.66999999999999"/>
    <n v="43"/>
    <n v="6822.81"/>
    <x v="578"/>
    <d v="2024-03-09T00:00:00"/>
  </r>
  <r>
    <n v="18749"/>
    <s v="RR354"/>
    <x v="6"/>
    <n v="222.47"/>
    <n v="12"/>
    <n v="2669.64"/>
    <x v="225"/>
    <d v="2024-10-27T00:00:00"/>
  </r>
  <r>
    <n v="78165"/>
    <s v="RR354"/>
    <x v="24"/>
    <n v="323.73"/>
    <n v="26"/>
    <n v="8416.98"/>
    <x v="579"/>
    <d v="2023-09-26T00:00:00"/>
  </r>
  <r>
    <n v="22529"/>
    <s v="BZ515"/>
    <x v="12"/>
    <n v="875.47"/>
    <n v="16"/>
    <n v="14007.52"/>
    <x v="30"/>
    <d v="2023-12-26T00:00:00"/>
  </r>
  <r>
    <n v="37093"/>
    <s v="GP381"/>
    <x v="9"/>
    <n v="796.94"/>
    <n v="22"/>
    <n v="17532.68"/>
    <x v="268"/>
    <d v="2024-06-06T00:00:00"/>
  </r>
  <r>
    <n v="91867"/>
    <s v="BL462"/>
    <x v="24"/>
    <n v="323.73"/>
    <n v="3"/>
    <n v="971.19"/>
    <x v="448"/>
    <d v="2024-01-23T00:00:00"/>
  </r>
  <r>
    <n v="17180"/>
    <s v="CB356"/>
    <x v="1"/>
    <n v="683.98"/>
    <n v="4"/>
    <n v="2735.92"/>
    <x v="510"/>
    <d v="2023-09-23T00:00:00"/>
  </r>
  <r>
    <n v="39916"/>
    <s v="SL727"/>
    <x v="35"/>
    <n v="611.66"/>
    <n v="49"/>
    <n v="29971.34"/>
    <x v="423"/>
    <d v="2024-02-25T00:00:00"/>
  </r>
  <r>
    <n v="95684"/>
    <s v="OS572"/>
    <x v="0"/>
    <n v="855.99"/>
    <n v="27"/>
    <n v="23111.73"/>
    <x v="293"/>
    <d v="2024-07-10T00:00:00"/>
  </r>
  <r>
    <n v="21867"/>
    <s v="GB310"/>
    <x v="15"/>
    <n v="608.37"/>
    <n v="38"/>
    <n v="23118.06"/>
    <x v="547"/>
    <d v="2024-10-11T00:00:00"/>
  </r>
  <r>
    <n v="20190"/>
    <s v="RR354"/>
    <x v="5"/>
    <n v="622.16"/>
    <n v="35"/>
    <n v="21775.599999999999"/>
    <x v="275"/>
    <d v="2024-03-07T00:00:00"/>
  </r>
  <r>
    <n v="48744"/>
    <s v="FL553"/>
    <x v="13"/>
    <n v="110.41"/>
    <n v="7"/>
    <n v="772.87"/>
    <x v="325"/>
    <d v="2023-08-21T00:00:00"/>
  </r>
  <r>
    <n v="83441"/>
    <s v="GH786"/>
    <x v="43"/>
    <n v="870.6"/>
    <n v="12"/>
    <n v="10447.200000000001"/>
    <x v="377"/>
    <d v="2024-07-17T00:00:00"/>
  </r>
  <r>
    <n v="87362"/>
    <s v="RR309"/>
    <x v="14"/>
    <n v="112.52"/>
    <n v="23"/>
    <n v="2587.96"/>
    <x v="236"/>
    <d v="2024-07-29T00:00:00"/>
  </r>
  <r>
    <n v="68533"/>
    <s v="SV938"/>
    <x v="21"/>
    <n v="534.77"/>
    <n v="39"/>
    <n v="20856.03"/>
    <x v="132"/>
    <d v="2024-05-09T00:00:00"/>
  </r>
  <r>
    <n v="38978"/>
    <s v="WI591"/>
    <x v="47"/>
    <n v="325"/>
    <n v="44"/>
    <n v="14300"/>
    <x v="580"/>
    <d v="2024-11-13T00:00:00"/>
  </r>
  <r>
    <n v="49936"/>
    <s v="RR309"/>
    <x v="21"/>
    <n v="534.77"/>
    <n v="12"/>
    <n v="6417.24"/>
    <x v="141"/>
    <d v="2023-05-26T00:00:00"/>
  </r>
  <r>
    <n v="44167"/>
    <s v="HG412"/>
    <x v="16"/>
    <n v="654.4"/>
    <n v="21"/>
    <n v="13742.4"/>
    <x v="91"/>
    <d v="2023-09-11T00:00:00"/>
  </r>
  <r>
    <n v="29248"/>
    <s v="GH786"/>
    <x v="29"/>
    <n v="404.9"/>
    <n v="12"/>
    <n v="4858.8"/>
    <x v="581"/>
    <d v="2024-02-18T00:00:00"/>
  </r>
  <r>
    <n v="38165"/>
    <s v="WI591"/>
    <x v="12"/>
    <n v="875.47"/>
    <n v="28"/>
    <n v="24513.16"/>
    <x v="60"/>
    <d v="2023-06-30T00:00:00"/>
  </r>
  <r>
    <n v="48834"/>
    <s v="SV938"/>
    <x v="44"/>
    <n v="913.18"/>
    <n v="28"/>
    <n v="25569.040000000001"/>
    <x v="71"/>
    <d v="2023-11-04T00:00:00"/>
  </r>
  <r>
    <n v="14757"/>
    <s v="SV938"/>
    <x v="19"/>
    <n v="682.74"/>
    <n v="32"/>
    <n v="21847.68"/>
    <x v="404"/>
    <d v="2024-04-06T00:00:00"/>
  </r>
  <r>
    <n v="55730"/>
    <s v="GB310"/>
    <x v="28"/>
    <n v="641.34"/>
    <n v="29"/>
    <n v="18598.86"/>
    <x v="582"/>
    <d v="2024-06-27T00:00:00"/>
  </r>
  <r>
    <n v="88585"/>
    <s v="OS572"/>
    <x v="4"/>
    <n v="546.64"/>
    <n v="40"/>
    <n v="21865.599999999999"/>
    <x v="583"/>
    <d v="2023-09-28T00:00:00"/>
  </r>
  <r>
    <n v="39342"/>
    <s v="WI591"/>
    <x v="44"/>
    <n v="913.18"/>
    <n v="10"/>
    <n v="9131.7999999999993"/>
    <x v="507"/>
    <d v="2023-09-20T00:00:00"/>
  </r>
  <r>
    <n v="95665"/>
    <s v="HL575"/>
    <x v="29"/>
    <n v="404.9"/>
    <n v="6"/>
    <n v="2429.4"/>
    <x v="579"/>
    <d v="2024-07-20T00:00:00"/>
  </r>
  <r>
    <n v="77536"/>
    <s v="HN871"/>
    <x v="13"/>
    <n v="110.41"/>
    <n v="32"/>
    <n v="3533.12"/>
    <x v="548"/>
    <d v="2024-10-01T00:00:00"/>
  </r>
  <r>
    <n v="24310"/>
    <s v="FL553"/>
    <x v="1"/>
    <n v="683.98"/>
    <n v="28"/>
    <n v="19151.439999999999"/>
    <x v="584"/>
    <d v="2023-07-08T00:00:00"/>
  </r>
  <r>
    <n v="34582"/>
    <s v="RR309"/>
    <x v="40"/>
    <n v="795.19"/>
    <n v="12"/>
    <n v="9542.2800000000007"/>
    <x v="520"/>
    <d v="2023-03-02T00:00:00"/>
  </r>
  <r>
    <n v="65334"/>
    <s v="OS572"/>
    <x v="9"/>
    <n v="796.94"/>
    <n v="8"/>
    <n v="6375.52"/>
    <x v="565"/>
    <d v="2023-02-05T00:00:00"/>
  </r>
  <r>
    <n v="70484"/>
    <s v="BL462"/>
    <x v="27"/>
    <n v="399.32"/>
    <n v="35"/>
    <n v="13976.2"/>
    <x v="74"/>
    <d v="2024-10-16T00:00:00"/>
  </r>
  <r>
    <n v="75027"/>
    <s v="GB310"/>
    <x v="43"/>
    <n v="870.6"/>
    <n v="9"/>
    <n v="7835.4"/>
    <x v="532"/>
    <d v="2023-12-12T00:00:00"/>
  </r>
  <r>
    <n v="20155"/>
    <s v="GB310"/>
    <x v="14"/>
    <n v="112.52"/>
    <n v="50"/>
    <n v="5626"/>
    <x v="476"/>
    <d v="2023-03-25T00:00:00"/>
  </r>
  <r>
    <n v="40959"/>
    <s v="RR309"/>
    <x v="29"/>
    <n v="404.9"/>
    <n v="30"/>
    <n v="12147"/>
    <x v="369"/>
    <d v="2024-01-12T00:00:00"/>
  </r>
  <r>
    <n v="30482"/>
    <s v="HL575"/>
    <x v="15"/>
    <n v="608.37"/>
    <n v="25"/>
    <n v="15209.25"/>
    <x v="275"/>
    <d v="2023-11-23T00:00:00"/>
  </r>
  <r>
    <n v="48787"/>
    <s v="HG412"/>
    <x v="39"/>
    <n v="402.36"/>
    <n v="18"/>
    <n v="7242.48"/>
    <x v="108"/>
    <d v="2024-08-14T00:00:00"/>
  </r>
  <r>
    <n v="51858"/>
    <s v="RR309"/>
    <x v="30"/>
    <n v="988.73"/>
    <n v="35"/>
    <n v="34605.550000000003"/>
    <x v="319"/>
    <d v="2024-08-22T00:00:00"/>
  </r>
  <r>
    <n v="55536"/>
    <s v="WD343"/>
    <x v="31"/>
    <n v="346.37"/>
    <n v="39"/>
    <n v="13508.43"/>
    <x v="585"/>
    <d v="2024-07-03T00:00:00"/>
  </r>
  <r>
    <n v="28979"/>
    <s v="BZ515"/>
    <x v="4"/>
    <n v="546.64"/>
    <n v="29"/>
    <n v="15852.56"/>
    <x v="32"/>
    <d v="2024-06-30T00:00:00"/>
  </r>
  <r>
    <n v="64776"/>
    <s v="BL462"/>
    <x v="19"/>
    <n v="682.74"/>
    <n v="40"/>
    <n v="27309.599999999999"/>
    <x v="284"/>
    <d v="2024-08-11T00:00:00"/>
  </r>
  <r>
    <n v="45753"/>
    <s v="RR309"/>
    <x v="9"/>
    <n v="796.94"/>
    <n v="10"/>
    <n v="7969.4"/>
    <x v="97"/>
    <d v="2024-04-06T00:00:00"/>
  </r>
  <r>
    <n v="49947"/>
    <s v="MS200"/>
    <x v="40"/>
    <n v="795.19"/>
    <n v="18"/>
    <n v="14313.42"/>
    <x v="514"/>
    <d v="2023-10-10T00:00:00"/>
  </r>
  <r>
    <n v="96011"/>
    <s v="WD343"/>
    <x v="42"/>
    <n v="430.1"/>
    <n v="33"/>
    <n v="14193.3"/>
    <x v="573"/>
    <d v="2024-11-21T00:00:00"/>
  </r>
  <r>
    <n v="29807"/>
    <s v="RR309"/>
    <x v="38"/>
    <n v="45.72"/>
    <n v="22"/>
    <n v="1005.84"/>
    <x v="187"/>
    <d v="2024-06-16T00:00:00"/>
  </r>
  <r>
    <n v="78955"/>
    <s v="RR354"/>
    <x v="21"/>
    <n v="534.77"/>
    <n v="49"/>
    <n v="26203.73"/>
    <x v="552"/>
    <d v="2024-02-12T00:00:00"/>
  </r>
  <r>
    <n v="68692"/>
    <s v="SV938"/>
    <x v="29"/>
    <n v="404.9"/>
    <n v="29"/>
    <n v="11742.1"/>
    <x v="190"/>
    <d v="2023-06-04T00:00:00"/>
  </r>
  <r>
    <n v="63340"/>
    <s v="SL727"/>
    <x v="36"/>
    <n v="796.51"/>
    <n v="14"/>
    <n v="11151.14"/>
    <x v="315"/>
    <d v="2024-11-22T00:00:00"/>
  </r>
  <r>
    <n v="23716"/>
    <s v="GH786"/>
    <x v="18"/>
    <n v="617.33000000000004"/>
    <n v="14"/>
    <n v="8642.6200000000008"/>
    <x v="58"/>
    <d v="2023-10-21T00:00:00"/>
  </r>
  <r>
    <n v="78193"/>
    <s v="RR354"/>
    <x v="29"/>
    <n v="404.9"/>
    <n v="46"/>
    <n v="18625.400000000001"/>
    <x v="13"/>
    <d v="2024-11-15T00:00:00"/>
  </r>
  <r>
    <n v="80030"/>
    <s v="HL575"/>
    <x v="13"/>
    <n v="110.41"/>
    <n v="29"/>
    <n v="3201.89"/>
    <x v="578"/>
    <d v="2023-11-01T00:00:00"/>
  </r>
  <r>
    <n v="43866"/>
    <s v="BZ515"/>
    <x v="0"/>
    <n v="855.99"/>
    <n v="45"/>
    <n v="38519.550000000003"/>
    <x v="482"/>
    <d v="2023-10-29T00:00:00"/>
  </r>
  <r>
    <n v="86710"/>
    <s v="BL462"/>
    <x v="20"/>
    <n v="93.68"/>
    <n v="34"/>
    <n v="3185.12"/>
    <x v="8"/>
    <d v="2023-08-15T00:00:00"/>
  </r>
  <r>
    <n v="18098"/>
    <s v="GP381"/>
    <x v="29"/>
    <n v="404.9"/>
    <n v="18"/>
    <n v="7288.2"/>
    <x v="267"/>
    <d v="2023-04-28T00:00:00"/>
  </r>
  <r>
    <n v="65737"/>
    <s v="SL727"/>
    <x v="5"/>
    <n v="622.16"/>
    <n v="41"/>
    <n v="25508.560000000001"/>
    <x v="103"/>
    <d v="2024-12-13T00:00:00"/>
  </r>
  <r>
    <n v="93666"/>
    <s v="CB356"/>
    <x v="8"/>
    <n v="596.97"/>
    <n v="36"/>
    <n v="21490.92"/>
    <x v="302"/>
    <d v="2024-09-17T00:00:00"/>
  </r>
  <r>
    <n v="92913"/>
    <s v="GH786"/>
    <x v="49"/>
    <n v="761.92"/>
    <n v="11"/>
    <n v="8381.1200000000008"/>
    <x v="132"/>
    <d v="2024-05-18T00:00:00"/>
  </r>
  <r>
    <n v="13225"/>
    <s v="WD343"/>
    <x v="43"/>
    <n v="870.6"/>
    <n v="8"/>
    <n v="6964.8"/>
    <x v="586"/>
    <d v="2023-07-19T00:00:00"/>
  </r>
  <r>
    <n v="32786"/>
    <s v="RR309"/>
    <x v="29"/>
    <n v="404.9"/>
    <n v="30"/>
    <n v="12147"/>
    <x v="587"/>
    <d v="2024-11-14T00:00:00"/>
  </r>
  <r>
    <n v="28402"/>
    <s v="HG412"/>
    <x v="4"/>
    <n v="546.64"/>
    <n v="26"/>
    <n v="14212.64"/>
    <x v="330"/>
    <d v="2024-12-10T00:00:00"/>
  </r>
  <r>
    <n v="25452"/>
    <s v="FL553"/>
    <x v="14"/>
    <n v="112.52"/>
    <n v="27"/>
    <n v="3038.04"/>
    <x v="588"/>
    <d v="2024-11-10T00:00:00"/>
  </r>
  <r>
    <n v="41225"/>
    <s v="WI591"/>
    <x v="14"/>
    <n v="112.52"/>
    <n v="18"/>
    <n v="2025.36"/>
    <x v="529"/>
    <d v="2023-04-21T00:00:00"/>
  </r>
  <r>
    <n v="44868"/>
    <s v="SL727"/>
    <x v="5"/>
    <n v="622.16"/>
    <n v="38"/>
    <n v="23642.080000000002"/>
    <x v="539"/>
    <d v="2023-11-30T00:00:00"/>
  </r>
  <r>
    <n v="12964"/>
    <s v="WD343"/>
    <x v="9"/>
    <n v="796.94"/>
    <n v="17"/>
    <n v="13547.98"/>
    <x v="31"/>
    <d v="2023-02-06T00:00:00"/>
  </r>
  <r>
    <n v="57175"/>
    <s v="BZ515"/>
    <x v="31"/>
    <n v="346.37"/>
    <n v="29"/>
    <n v="10044.73"/>
    <x v="352"/>
    <d v="2024-01-07T00:00:00"/>
  </r>
  <r>
    <n v="91758"/>
    <s v="MT731"/>
    <x v="14"/>
    <n v="112.52"/>
    <n v="41"/>
    <n v="4613.32"/>
    <x v="28"/>
    <d v="2024-11-10T00:00:00"/>
  </r>
  <r>
    <n v="19880"/>
    <s v="WD343"/>
    <x v="44"/>
    <n v="913.18"/>
    <n v="36"/>
    <n v="32874.480000000003"/>
    <x v="568"/>
    <d v="2024-10-28T00:00:00"/>
  </r>
  <r>
    <n v="37477"/>
    <s v="RR309"/>
    <x v="49"/>
    <n v="761.92"/>
    <n v="2"/>
    <n v="1523.84"/>
    <x v="533"/>
    <d v="2023-11-13T00:00:00"/>
  </r>
  <r>
    <n v="80703"/>
    <s v="GB310"/>
    <x v="31"/>
    <n v="346.37"/>
    <n v="16"/>
    <n v="5541.92"/>
    <x v="589"/>
    <d v="2023-03-30T00:00:00"/>
  </r>
  <r>
    <n v="34239"/>
    <s v="BL462"/>
    <x v="32"/>
    <n v="184.57"/>
    <n v="33"/>
    <n v="6090.81"/>
    <x v="20"/>
    <d v="2024-01-20T00:00:00"/>
  </r>
  <r>
    <n v="74416"/>
    <s v="WI591"/>
    <x v="44"/>
    <n v="913.18"/>
    <n v="30"/>
    <n v="27395.4"/>
    <x v="590"/>
    <d v="2023-03-29T00:00:00"/>
  </r>
  <r>
    <n v="10094"/>
    <s v="WI591"/>
    <x v="40"/>
    <n v="795.19"/>
    <n v="40"/>
    <n v="31807.599999999999"/>
    <x v="116"/>
    <d v="2024-04-12T00:00:00"/>
  </r>
  <r>
    <n v="18959"/>
    <s v="GB310"/>
    <x v="18"/>
    <n v="617.33000000000004"/>
    <n v="35"/>
    <n v="21606.55"/>
    <x v="591"/>
    <d v="2023-11-23T00:00:00"/>
  </r>
  <r>
    <n v="92104"/>
    <s v="RR309"/>
    <x v="11"/>
    <n v="988.47"/>
    <n v="14"/>
    <n v="13838.58"/>
    <x v="547"/>
    <d v="2023-06-02T00:00:00"/>
  </r>
  <r>
    <n v="93857"/>
    <s v="HL575"/>
    <x v="6"/>
    <n v="222.47"/>
    <n v="35"/>
    <n v="7786.45"/>
    <x v="271"/>
    <d v="2024-01-26T00:00:00"/>
  </r>
  <r>
    <n v="83226"/>
    <s v="FL553"/>
    <x v="46"/>
    <n v="346.4"/>
    <n v="30"/>
    <n v="10392"/>
    <x v="415"/>
    <d v="2023-07-13T00:00:00"/>
  </r>
  <r>
    <n v="10822"/>
    <s v="SV938"/>
    <x v="17"/>
    <n v="366.3"/>
    <n v="6"/>
    <n v="2197.8000000000002"/>
    <x v="510"/>
    <d v="2024-06-25T00:00:00"/>
  </r>
  <r>
    <n v="34186"/>
    <s v="RR309"/>
    <x v="17"/>
    <n v="366.3"/>
    <n v="45"/>
    <n v="16483.5"/>
    <x v="496"/>
    <d v="2024-07-30T00:00:00"/>
  </r>
  <r>
    <n v="86508"/>
    <s v="MS200"/>
    <x v="7"/>
    <n v="101.12"/>
    <n v="27"/>
    <n v="2730.24"/>
    <x v="592"/>
    <d v="2023-06-12T00:00:00"/>
  </r>
  <r>
    <n v="95683"/>
    <s v="MS200"/>
    <x v="43"/>
    <n v="870.6"/>
    <n v="46"/>
    <n v="40047.599999999999"/>
    <x v="180"/>
    <d v="2024-10-14T00:00:00"/>
  </r>
  <r>
    <n v="69013"/>
    <s v="MS200"/>
    <x v="31"/>
    <n v="346.37"/>
    <n v="37"/>
    <n v="12815.69"/>
    <x v="345"/>
    <d v="2023-12-22T00:00:00"/>
  </r>
  <r>
    <n v="59982"/>
    <s v="OS572"/>
    <x v="42"/>
    <n v="430.1"/>
    <n v="19"/>
    <n v="8171.9"/>
    <x v="593"/>
    <d v="2023-08-21T00:00:00"/>
  </r>
  <r>
    <n v="16449"/>
    <s v="HG412"/>
    <x v="43"/>
    <n v="870.6"/>
    <n v="22"/>
    <n v="19153.2"/>
    <x v="277"/>
    <d v="2024-03-16T00:00:00"/>
  </r>
  <r>
    <n v="57648"/>
    <s v="BL462"/>
    <x v="22"/>
    <n v="468.95"/>
    <n v="46"/>
    <n v="21571.7"/>
    <x v="448"/>
    <d v="2023-03-11T00:00:00"/>
  </r>
  <r>
    <n v="76659"/>
    <s v="WI591"/>
    <x v="32"/>
    <n v="184.57"/>
    <n v="27"/>
    <n v="4983.3900000000003"/>
    <x v="339"/>
    <d v="2024-03-20T00:00:00"/>
  </r>
  <r>
    <n v="88003"/>
    <s v="RR309"/>
    <x v="14"/>
    <n v="112.52"/>
    <n v="18"/>
    <n v="2025.36"/>
    <x v="167"/>
    <d v="2024-02-14T00:00:00"/>
  </r>
  <r>
    <n v="50777"/>
    <s v="CB356"/>
    <x v="32"/>
    <n v="184.57"/>
    <n v="37"/>
    <n v="6829.09"/>
    <x v="365"/>
    <d v="2024-10-22T00:00:00"/>
  </r>
  <r>
    <n v="93272"/>
    <s v="WI591"/>
    <x v="5"/>
    <n v="622.16"/>
    <n v="15"/>
    <n v="9332.4"/>
    <x v="102"/>
    <d v="2023-11-14T00:00:00"/>
  </r>
  <r>
    <n v="26954"/>
    <s v="SV938"/>
    <x v="7"/>
    <n v="101.12"/>
    <n v="44"/>
    <n v="4449.28"/>
    <x v="457"/>
    <d v="2024-07-12T00:00:00"/>
  </r>
  <r>
    <n v="74521"/>
    <s v="CB356"/>
    <x v="29"/>
    <n v="404.9"/>
    <n v="16"/>
    <n v="6478.4"/>
    <x v="576"/>
    <d v="2023-08-10T00:00:00"/>
  </r>
  <r>
    <n v="46034"/>
    <s v="SV938"/>
    <x v="25"/>
    <n v="972.24"/>
    <n v="22"/>
    <n v="21389.279999999999"/>
    <x v="116"/>
    <d v="2023-09-07T00:00:00"/>
  </r>
  <r>
    <n v="24219"/>
    <s v="HL575"/>
    <x v="34"/>
    <n v="474.55"/>
    <n v="24"/>
    <n v="11389.2"/>
    <x v="432"/>
    <d v="2024-01-17T00:00:00"/>
  </r>
  <r>
    <n v="15107"/>
    <s v="GB310"/>
    <x v="34"/>
    <n v="474.55"/>
    <n v="43"/>
    <n v="20405.650000000001"/>
    <x v="449"/>
    <d v="2023-08-12T00:00:00"/>
  </r>
  <r>
    <n v="78123"/>
    <s v="FL553"/>
    <x v="14"/>
    <n v="112.52"/>
    <n v="40"/>
    <n v="4500.8"/>
    <x v="42"/>
    <d v="2024-10-14T00:00:00"/>
  </r>
  <r>
    <n v="52852"/>
    <s v="MS200"/>
    <x v="44"/>
    <n v="913.18"/>
    <n v="25"/>
    <n v="22829.5"/>
    <x v="594"/>
    <d v="2024-11-29T00:00:00"/>
  </r>
  <r>
    <n v="34286"/>
    <s v="RR309"/>
    <x v="16"/>
    <n v="654.4"/>
    <n v="11"/>
    <n v="7198.4"/>
    <x v="595"/>
    <d v="2024-02-29T00:00:00"/>
  </r>
  <r>
    <n v="87325"/>
    <s v="CB356"/>
    <x v="42"/>
    <n v="430.1"/>
    <n v="43"/>
    <n v="18494.3"/>
    <x v="496"/>
    <d v="2023-06-23T00:00:00"/>
  </r>
  <r>
    <n v="63553"/>
    <s v="PL284"/>
    <x v="24"/>
    <n v="323.73"/>
    <n v="50"/>
    <n v="16186.5"/>
    <x v="379"/>
    <d v="2023-07-08T00:00:00"/>
  </r>
  <r>
    <n v="11255"/>
    <s v="HN871"/>
    <x v="45"/>
    <n v="890.84"/>
    <n v="34"/>
    <n v="30288.560000000001"/>
    <x v="596"/>
    <d v="2024-04-01T00:00:00"/>
  </r>
  <r>
    <n v="42918"/>
    <s v="SV938"/>
    <x v="26"/>
    <n v="730.09"/>
    <n v="44"/>
    <n v="32123.96"/>
    <x v="597"/>
    <d v="2023-11-05T00:00:00"/>
  </r>
  <r>
    <n v="16066"/>
    <s v="GH786"/>
    <x v="32"/>
    <n v="184.57"/>
    <n v="25"/>
    <n v="4614.25"/>
    <x v="598"/>
    <d v="2023-07-06T00:00:00"/>
  </r>
  <r>
    <n v="68354"/>
    <s v="MT731"/>
    <x v="47"/>
    <n v="325"/>
    <n v="27"/>
    <n v="8775"/>
    <x v="38"/>
    <d v="2023-03-19T00:00:00"/>
  </r>
  <r>
    <n v="48396"/>
    <s v="BZ515"/>
    <x v="3"/>
    <n v="449.74"/>
    <n v="28"/>
    <n v="12592.72"/>
    <x v="49"/>
    <d v="2024-10-05T00:00:00"/>
  </r>
  <r>
    <n v="86748"/>
    <s v="WD343"/>
    <x v="29"/>
    <n v="404.9"/>
    <n v="11"/>
    <n v="4453.8999999999996"/>
    <x v="427"/>
    <d v="2023-02-13T00:00:00"/>
  </r>
  <r>
    <n v="13982"/>
    <s v="HG412"/>
    <x v="23"/>
    <n v="533.15"/>
    <n v="18"/>
    <n v="9596.7000000000007"/>
    <x v="599"/>
    <d v="2023-05-09T00:00:00"/>
  </r>
  <r>
    <n v="22617"/>
    <s v="SV938"/>
    <x v="20"/>
    <n v="93.68"/>
    <n v="43"/>
    <n v="4028.24"/>
    <x v="279"/>
    <d v="2024-06-09T00:00:00"/>
  </r>
  <r>
    <n v="38602"/>
    <s v="PL284"/>
    <x v="49"/>
    <n v="761.92"/>
    <n v="21"/>
    <n v="16000.32"/>
    <x v="323"/>
    <d v="2023-07-27T00:00:00"/>
  </r>
  <r>
    <n v="28193"/>
    <s v="PL284"/>
    <x v="8"/>
    <n v="596.97"/>
    <n v="45"/>
    <n v="26863.65"/>
    <x v="366"/>
    <d v="2023-09-19T00:00:00"/>
  </r>
  <r>
    <n v="38374"/>
    <s v="SV938"/>
    <x v="29"/>
    <n v="404.9"/>
    <n v="20"/>
    <n v="8098"/>
    <x v="508"/>
    <d v="2023-01-25T00:00:00"/>
  </r>
  <r>
    <n v="95739"/>
    <s v="MS200"/>
    <x v="23"/>
    <n v="533.15"/>
    <n v="4"/>
    <n v="2132.6"/>
    <x v="88"/>
    <d v="2024-02-26T00:00:00"/>
  </r>
  <r>
    <n v="53935"/>
    <s v="GP381"/>
    <x v="47"/>
    <n v="325"/>
    <n v="26"/>
    <n v="8450"/>
    <x v="600"/>
    <d v="2024-09-30T00:00:00"/>
  </r>
  <r>
    <n v="58696"/>
    <s v="OS572"/>
    <x v="42"/>
    <n v="430.1"/>
    <n v="46"/>
    <n v="19784.599999999999"/>
    <x v="216"/>
    <d v="2024-04-26T00:00:00"/>
  </r>
  <r>
    <n v="68727"/>
    <s v="GB310"/>
    <x v="0"/>
    <n v="855.99"/>
    <n v="19"/>
    <n v="16263.81"/>
    <x v="166"/>
    <d v="2024-02-17T00:00:00"/>
  </r>
  <r>
    <n v="40671"/>
    <s v="MT731"/>
    <x v="24"/>
    <n v="323.73"/>
    <n v="31"/>
    <n v="10035.629999999999"/>
    <x v="207"/>
    <d v="2023-11-27T00:00:00"/>
  </r>
  <r>
    <n v="97270"/>
    <s v="BL462"/>
    <x v="13"/>
    <n v="110.41"/>
    <n v="35"/>
    <n v="3864.35"/>
    <x v="404"/>
    <d v="2024-04-04T00:00:00"/>
  </r>
  <r>
    <n v="68991"/>
    <s v="OS572"/>
    <x v="47"/>
    <n v="325"/>
    <n v="11"/>
    <n v="3575"/>
    <x v="16"/>
    <d v="2023-06-06T00:00:00"/>
  </r>
  <r>
    <n v="89976"/>
    <s v="SV938"/>
    <x v="21"/>
    <n v="534.77"/>
    <n v="34"/>
    <n v="18182.18"/>
    <x v="104"/>
    <d v="2024-07-28T00:00:00"/>
  </r>
  <r>
    <n v="18684"/>
    <s v="HN871"/>
    <x v="14"/>
    <n v="112.52"/>
    <n v="11"/>
    <n v="1237.72"/>
    <x v="409"/>
    <d v="2024-04-11T00:00:00"/>
  </r>
  <r>
    <n v="51280"/>
    <s v="OS572"/>
    <x v="0"/>
    <n v="855.99"/>
    <n v="31"/>
    <n v="26535.69"/>
    <x v="601"/>
    <d v="2024-07-13T00:00:00"/>
  </r>
  <r>
    <n v="57402"/>
    <s v="RR309"/>
    <x v="4"/>
    <n v="546.64"/>
    <n v="12"/>
    <n v="6559.68"/>
    <x v="372"/>
    <d v="2024-12-24T00:00:00"/>
  </r>
  <r>
    <n v="95936"/>
    <s v="WD343"/>
    <x v="45"/>
    <n v="890.84"/>
    <n v="8"/>
    <n v="7126.72"/>
    <x v="170"/>
    <d v="2023-09-26T00:00:00"/>
  </r>
  <r>
    <n v="26824"/>
    <s v="CB356"/>
    <x v="10"/>
    <n v="233.83"/>
    <n v="41"/>
    <n v="9587.0300000000007"/>
    <x v="253"/>
    <d v="2023-11-07T00:00:00"/>
  </r>
  <r>
    <n v="89583"/>
    <s v="FL553"/>
    <x v="17"/>
    <n v="366.3"/>
    <n v="23"/>
    <n v="8424.9"/>
    <x v="526"/>
    <d v="2024-12-17T00:00:00"/>
  </r>
  <r>
    <n v="19069"/>
    <s v="RR354"/>
    <x v="22"/>
    <n v="468.95"/>
    <n v="16"/>
    <n v="7503.2"/>
    <x v="566"/>
    <d v="2023-04-05T00:00:00"/>
  </r>
  <r>
    <n v="46443"/>
    <s v="WI591"/>
    <x v="33"/>
    <n v="705.68"/>
    <n v="21"/>
    <n v="14819.28"/>
    <x v="244"/>
    <d v="2024-11-23T00:00:00"/>
  </r>
  <r>
    <n v="53928"/>
    <s v="HN871"/>
    <x v="34"/>
    <n v="474.55"/>
    <n v="4"/>
    <n v="1898.2"/>
    <x v="165"/>
    <d v="2023-10-06T00:00:00"/>
  </r>
  <r>
    <n v="52554"/>
    <s v="MT731"/>
    <x v="44"/>
    <n v="913.18"/>
    <n v="1"/>
    <n v="913.18"/>
    <x v="174"/>
    <d v="2023-02-02T00:00:00"/>
  </r>
  <r>
    <n v="56943"/>
    <s v="BZ515"/>
    <x v="2"/>
    <n v="68.05"/>
    <n v="46"/>
    <n v="3130.3"/>
    <x v="301"/>
    <d v="2024-07-11T00:00:00"/>
  </r>
  <r>
    <n v="70519"/>
    <s v="BZ515"/>
    <x v="34"/>
    <n v="474.55"/>
    <n v="28"/>
    <n v="13287.4"/>
    <x v="218"/>
    <d v="2024-09-19T00:00:00"/>
  </r>
  <r>
    <n v="37610"/>
    <s v="GB310"/>
    <x v="39"/>
    <n v="402.36"/>
    <n v="24"/>
    <n v="9656.64"/>
    <x v="228"/>
    <d v="2024-07-24T00:00:00"/>
  </r>
  <r>
    <n v="30862"/>
    <s v="RR309"/>
    <x v="23"/>
    <n v="533.15"/>
    <n v="40"/>
    <n v="21326"/>
    <x v="602"/>
    <d v="2023-09-19T00:00:00"/>
  </r>
  <r>
    <n v="20766"/>
    <s v="WD343"/>
    <x v="34"/>
    <n v="474.55"/>
    <n v="21"/>
    <n v="9965.5499999999993"/>
    <x v="478"/>
    <d v="2023-10-04T00:00:00"/>
  </r>
  <r>
    <n v="89579"/>
    <s v="GB310"/>
    <x v="37"/>
    <n v="753.12"/>
    <n v="34"/>
    <n v="25606.080000000002"/>
    <x v="557"/>
    <d v="2024-04-04T00:00:00"/>
  </r>
  <r>
    <n v="34110"/>
    <s v="BL462"/>
    <x v="7"/>
    <n v="101.12"/>
    <n v="48"/>
    <n v="4853.76"/>
    <x v="444"/>
    <d v="2023-01-23T00:00:00"/>
  </r>
  <r>
    <n v="67250"/>
    <s v="HL575"/>
    <x v="46"/>
    <n v="346.4"/>
    <n v="50"/>
    <n v="17320"/>
    <x v="170"/>
    <d v="2023-11-24T00:00:00"/>
  </r>
  <r>
    <n v="49726"/>
    <s v="GP381"/>
    <x v="36"/>
    <n v="796.51"/>
    <n v="11"/>
    <n v="8761.61"/>
    <x v="427"/>
    <d v="2024-08-11T00:00:00"/>
  </r>
  <r>
    <n v="72947"/>
    <s v="GH786"/>
    <x v="31"/>
    <n v="346.37"/>
    <n v="29"/>
    <n v="10044.73"/>
    <x v="53"/>
    <d v="2024-07-14T00:00:00"/>
  </r>
  <r>
    <n v="80063"/>
    <s v="HG412"/>
    <x v="23"/>
    <n v="533.15"/>
    <n v="47"/>
    <n v="25058.05"/>
    <x v="243"/>
    <d v="2023-02-18T00:00:00"/>
  </r>
  <r>
    <n v="72396"/>
    <s v="PL284"/>
    <x v="44"/>
    <n v="913.18"/>
    <n v="27"/>
    <n v="24655.86"/>
    <x v="461"/>
    <d v="2024-06-25T00:00:00"/>
  </r>
  <r>
    <n v="19042"/>
    <s v="RR309"/>
    <x v="39"/>
    <n v="402.36"/>
    <n v="27"/>
    <n v="10863.72"/>
    <x v="22"/>
    <d v="2024-04-26T00:00:00"/>
  </r>
  <r>
    <n v="60034"/>
    <s v="HL575"/>
    <x v="39"/>
    <n v="402.36"/>
    <n v="38"/>
    <n v="15289.68"/>
    <x v="76"/>
    <d v="2024-11-27T00:00:00"/>
  </r>
  <r>
    <n v="95912"/>
    <s v="GH786"/>
    <x v="15"/>
    <n v="608.37"/>
    <n v="3"/>
    <n v="1825.11"/>
    <x v="603"/>
    <d v="2023-02-27T00:00:00"/>
  </r>
  <r>
    <n v="88578"/>
    <s v="MS200"/>
    <x v="22"/>
    <n v="468.95"/>
    <n v="33"/>
    <n v="15475.35"/>
    <x v="536"/>
    <d v="2024-12-21T00:00:00"/>
  </r>
  <r>
    <n v="53942"/>
    <s v="HN871"/>
    <x v="42"/>
    <n v="430.1"/>
    <n v="15"/>
    <n v="6451.5"/>
    <x v="506"/>
    <d v="2023-04-07T00:00:00"/>
  </r>
  <r>
    <n v="87859"/>
    <s v="BL462"/>
    <x v="12"/>
    <n v="875.47"/>
    <n v="17"/>
    <n v="14882.99"/>
    <x v="494"/>
    <d v="2023-06-20T00:00:00"/>
  </r>
  <r>
    <n v="28553"/>
    <s v="BL462"/>
    <x v="28"/>
    <n v="641.34"/>
    <n v="23"/>
    <n v="14750.82"/>
    <x v="604"/>
    <d v="2023-12-06T00:00:00"/>
  </r>
  <r>
    <n v="99814"/>
    <s v="PL284"/>
    <x v="14"/>
    <n v="112.52"/>
    <n v="3"/>
    <n v="337.56"/>
    <x v="127"/>
    <d v="2023-06-18T00:00:00"/>
  </r>
  <r>
    <n v="28496"/>
    <s v="BZ515"/>
    <x v="43"/>
    <n v="870.6"/>
    <n v="4"/>
    <n v="3482.4"/>
    <x v="277"/>
    <d v="2024-04-02T00:00:00"/>
  </r>
  <r>
    <n v="59659"/>
    <s v="FL553"/>
    <x v="2"/>
    <n v="68.05"/>
    <n v="48"/>
    <n v="3266.4"/>
    <x v="143"/>
    <d v="2023-09-17T00:00:00"/>
  </r>
  <r>
    <n v="93987"/>
    <s v="GP381"/>
    <x v="19"/>
    <n v="682.74"/>
    <n v="38"/>
    <n v="25944.12"/>
    <x v="340"/>
    <d v="2024-10-31T00:00:00"/>
  </r>
  <r>
    <n v="43267"/>
    <s v="HL575"/>
    <x v="48"/>
    <n v="95.12"/>
    <n v="25"/>
    <n v="2378"/>
    <x v="122"/>
    <d v="2024-04-21T00:00:00"/>
  </r>
  <r>
    <n v="31662"/>
    <s v="GH786"/>
    <x v="26"/>
    <n v="730.09"/>
    <n v="7"/>
    <n v="5110.63"/>
    <x v="605"/>
    <d v="2023-02-04T00:00:00"/>
  </r>
  <r>
    <n v="50179"/>
    <s v="GB310"/>
    <x v="42"/>
    <n v="430.1"/>
    <n v="13"/>
    <n v="5591.3"/>
    <x v="345"/>
    <d v="2024-03-18T00:00:00"/>
  </r>
  <r>
    <n v="85506"/>
    <s v="MT731"/>
    <x v="3"/>
    <n v="449.74"/>
    <n v="17"/>
    <n v="7645.58"/>
    <x v="606"/>
    <d v="2023-07-14T00:00:00"/>
  </r>
  <r>
    <n v="47231"/>
    <s v="RR354"/>
    <x v="34"/>
    <n v="474.55"/>
    <n v="20"/>
    <n v="9491"/>
    <x v="262"/>
    <d v="2024-04-26T00:00:00"/>
  </r>
  <r>
    <n v="82081"/>
    <s v="RR354"/>
    <x v="25"/>
    <n v="972.24"/>
    <n v="31"/>
    <n v="30139.439999999999"/>
    <x v="237"/>
    <d v="2023-08-14T00:00:00"/>
  </r>
  <r>
    <n v="44544"/>
    <s v="CB356"/>
    <x v="45"/>
    <n v="890.84"/>
    <n v="4"/>
    <n v="3563.36"/>
    <x v="311"/>
    <d v="2024-12-01T00:00:00"/>
  </r>
  <r>
    <n v="52967"/>
    <s v="WD343"/>
    <x v="43"/>
    <n v="870.6"/>
    <n v="48"/>
    <n v="41788.800000000003"/>
    <x v="357"/>
    <d v="2024-07-30T00:00:00"/>
  </r>
  <r>
    <n v="69677"/>
    <s v="HG412"/>
    <x v="12"/>
    <n v="875.47"/>
    <n v="17"/>
    <n v="14882.99"/>
    <x v="489"/>
    <d v="2024-06-16T00:00:00"/>
  </r>
  <r>
    <n v="29462"/>
    <s v="RR309"/>
    <x v="34"/>
    <n v="474.55"/>
    <n v="31"/>
    <n v="14711.05"/>
    <x v="505"/>
    <d v="2023-04-04T00:00:00"/>
  </r>
  <r>
    <n v="99837"/>
    <s v="BZ515"/>
    <x v="18"/>
    <n v="617.33000000000004"/>
    <n v="32"/>
    <n v="19754.560000000001"/>
    <x v="86"/>
    <d v="2023-10-23T00:00:00"/>
  </r>
  <r>
    <n v="83027"/>
    <s v="RR354"/>
    <x v="8"/>
    <n v="596.97"/>
    <n v="36"/>
    <n v="21490.92"/>
    <x v="366"/>
    <d v="2023-04-03T00:00:00"/>
  </r>
  <r>
    <n v="58511"/>
    <s v="WD343"/>
    <x v="22"/>
    <n v="468.95"/>
    <n v="3"/>
    <n v="1406.85"/>
    <x v="549"/>
    <d v="2023-12-19T00:00:00"/>
  </r>
  <r>
    <n v="75838"/>
    <s v="HG412"/>
    <x v="0"/>
    <n v="855.99"/>
    <n v="42"/>
    <n v="35951.58"/>
    <x v="607"/>
    <d v="2024-04-30T00:00:00"/>
  </r>
  <r>
    <n v="26139"/>
    <s v="RR354"/>
    <x v="49"/>
    <n v="761.92"/>
    <n v="34"/>
    <n v="25905.279999999999"/>
    <x v="506"/>
    <d v="2024-01-23T00:00:00"/>
  </r>
  <r>
    <n v="15442"/>
    <s v="GP381"/>
    <x v="40"/>
    <n v="795.19"/>
    <n v="23"/>
    <n v="18289.37"/>
    <x v="608"/>
    <d v="2023-05-28T00:00:00"/>
  </r>
  <r>
    <n v="22001"/>
    <s v="GH786"/>
    <x v="35"/>
    <n v="611.66"/>
    <n v="39"/>
    <n v="23854.74"/>
    <x v="190"/>
    <d v="2023-12-29T00:00:00"/>
  </r>
  <r>
    <n v="38966"/>
    <s v="WI591"/>
    <x v="30"/>
    <n v="988.73"/>
    <n v="32"/>
    <n v="31639.360000000001"/>
    <x v="102"/>
    <d v="2024-03-26T00:00:00"/>
  </r>
  <r>
    <n v="76828"/>
    <s v="RR309"/>
    <x v="19"/>
    <n v="682.74"/>
    <n v="2"/>
    <n v="1365.48"/>
    <x v="460"/>
    <d v="2023-02-26T00:00:00"/>
  </r>
  <r>
    <n v="64853"/>
    <s v="CB356"/>
    <x v="29"/>
    <n v="404.9"/>
    <n v="19"/>
    <n v="7693.1"/>
    <x v="603"/>
    <d v="2024-01-28T00:00:00"/>
  </r>
  <r>
    <n v="22081"/>
    <s v="SL727"/>
    <x v="9"/>
    <n v="796.94"/>
    <n v="3"/>
    <n v="2390.8200000000002"/>
    <x v="258"/>
    <d v="2023-04-25T00:00:00"/>
  </r>
  <r>
    <n v="20769"/>
    <s v="BL462"/>
    <x v="12"/>
    <n v="875.47"/>
    <n v="33"/>
    <n v="28890.51"/>
    <x v="143"/>
    <d v="2024-04-20T00:00:00"/>
  </r>
  <r>
    <n v="54682"/>
    <s v="MT731"/>
    <x v="39"/>
    <n v="402.36"/>
    <n v="22"/>
    <n v="8851.92"/>
    <x v="255"/>
    <d v="2024-05-21T00:00:00"/>
  </r>
  <r>
    <n v="35083"/>
    <s v="MS200"/>
    <x v="5"/>
    <n v="622.16"/>
    <n v="29"/>
    <n v="18042.64"/>
    <x v="86"/>
    <d v="2024-06-18T00:00:00"/>
  </r>
  <r>
    <n v="28190"/>
    <s v="OS572"/>
    <x v="44"/>
    <n v="913.18"/>
    <n v="17"/>
    <n v="15524.06"/>
    <x v="115"/>
    <d v="2023-09-29T00:00:00"/>
  </r>
  <r>
    <n v="12552"/>
    <s v="BL462"/>
    <x v="13"/>
    <n v="110.41"/>
    <n v="22"/>
    <n v="2429.02"/>
    <x v="609"/>
    <d v="2023-06-28T00:00:00"/>
  </r>
  <r>
    <n v="47788"/>
    <s v="WD343"/>
    <x v="19"/>
    <n v="682.74"/>
    <n v="24"/>
    <n v="16385.759999999998"/>
    <x v="440"/>
    <d v="2023-03-21T00:00:00"/>
  </r>
  <r>
    <n v="98383"/>
    <s v="CB356"/>
    <x v="34"/>
    <n v="474.55"/>
    <n v="25"/>
    <n v="11863.75"/>
    <x v="445"/>
    <d v="2024-10-21T00:00:00"/>
  </r>
  <r>
    <n v="79006"/>
    <s v="FL553"/>
    <x v="23"/>
    <n v="533.15"/>
    <n v="11"/>
    <n v="5864.65"/>
    <x v="499"/>
    <d v="2023-11-15T00:00:00"/>
  </r>
  <r>
    <n v="20929"/>
    <s v="WI591"/>
    <x v="6"/>
    <n v="222.47"/>
    <n v="37"/>
    <n v="8231.39"/>
    <x v="77"/>
    <d v="2023-09-04T00:00:00"/>
  </r>
  <r>
    <n v="19258"/>
    <s v="WD343"/>
    <x v="17"/>
    <n v="366.3"/>
    <n v="41"/>
    <n v="15018.3"/>
    <x v="92"/>
    <d v="2023-09-29T00:00:00"/>
  </r>
  <r>
    <n v="59145"/>
    <s v="SL727"/>
    <x v="0"/>
    <n v="855.99"/>
    <n v="20"/>
    <n v="17119.8"/>
    <x v="518"/>
    <d v="2024-11-01T00:00:00"/>
  </r>
  <r>
    <n v="88327"/>
    <s v="HL575"/>
    <x v="24"/>
    <n v="323.73"/>
    <n v="45"/>
    <n v="14567.85"/>
    <x v="374"/>
    <d v="2024-03-31T00:00:00"/>
  </r>
  <r>
    <n v="35299"/>
    <s v="SL727"/>
    <x v="0"/>
    <n v="855.99"/>
    <n v="3"/>
    <n v="2567.9699999999998"/>
    <x v="610"/>
    <d v="2024-10-02T00:00:00"/>
  </r>
  <r>
    <n v="35052"/>
    <s v="BL462"/>
    <x v="41"/>
    <n v="158.66999999999999"/>
    <n v="16"/>
    <n v="2538.7199999999998"/>
    <x v="566"/>
    <d v="2023-04-16T00:00:00"/>
  </r>
  <r>
    <n v="87911"/>
    <s v="MT731"/>
    <x v="40"/>
    <n v="795.19"/>
    <n v="11"/>
    <n v="8747.09"/>
    <x v="534"/>
    <d v="2024-03-25T00:00:00"/>
  </r>
  <r>
    <n v="11493"/>
    <s v="SV938"/>
    <x v="39"/>
    <n v="402.36"/>
    <n v="10"/>
    <n v="4023.6"/>
    <x v="290"/>
    <d v="2024-12-07T00:00:00"/>
  </r>
  <r>
    <n v="75185"/>
    <s v="RR309"/>
    <x v="21"/>
    <n v="534.77"/>
    <n v="6"/>
    <n v="3208.62"/>
    <x v="537"/>
    <d v="2024-11-02T00:00:00"/>
  </r>
  <r>
    <n v="99031"/>
    <s v="BZ515"/>
    <x v="22"/>
    <n v="468.95"/>
    <n v="32"/>
    <n v="15006.4"/>
    <x v="589"/>
    <d v="2024-12-10T00:00:00"/>
  </r>
  <r>
    <n v="50752"/>
    <s v="GB310"/>
    <x v="27"/>
    <n v="399.32"/>
    <n v="1"/>
    <n v="399.32"/>
    <x v="75"/>
    <d v="2023-09-08T00:00:00"/>
  </r>
  <r>
    <n v="57285"/>
    <s v="PL284"/>
    <x v="40"/>
    <n v="795.19"/>
    <n v="33"/>
    <n v="26241.27"/>
    <x v="13"/>
    <d v="2023-10-13T00:00:00"/>
  </r>
  <r>
    <n v="92958"/>
    <s v="SL727"/>
    <x v="14"/>
    <n v="112.52"/>
    <n v="33"/>
    <n v="3713.16"/>
    <x v="256"/>
    <d v="2024-11-03T00:00:00"/>
  </r>
  <r>
    <n v="57403"/>
    <s v="HN871"/>
    <x v="41"/>
    <n v="158.66999999999999"/>
    <n v="3"/>
    <n v="476.01"/>
    <x v="186"/>
    <d v="2024-01-15T00:00:00"/>
  </r>
  <r>
    <n v="45571"/>
    <s v="OS572"/>
    <x v="24"/>
    <n v="323.73"/>
    <n v="10"/>
    <n v="3237.3"/>
    <x v="577"/>
    <d v="2024-12-18T00:00:00"/>
  </r>
  <r>
    <n v="96866"/>
    <s v="HL575"/>
    <x v="10"/>
    <n v="233.83"/>
    <n v="32"/>
    <n v="7482.56"/>
    <x v="353"/>
    <d v="2024-07-17T00:00:00"/>
  </r>
  <r>
    <n v="68759"/>
    <s v="GB310"/>
    <x v="28"/>
    <n v="641.34"/>
    <n v="16"/>
    <n v="10261.44"/>
    <x v="175"/>
    <d v="2024-07-23T00:00:00"/>
  </r>
  <r>
    <n v="38487"/>
    <s v="WI591"/>
    <x v="28"/>
    <n v="641.34"/>
    <n v="32"/>
    <n v="20522.88"/>
    <x v="611"/>
    <d v="2023-08-24T00:00:00"/>
  </r>
  <r>
    <n v="75531"/>
    <s v="HN871"/>
    <x v="41"/>
    <n v="158.66999999999999"/>
    <n v="46"/>
    <n v="7298.82"/>
    <x v="491"/>
    <d v="2024-10-19T00:00:00"/>
  </r>
  <r>
    <n v="44084"/>
    <s v="GP381"/>
    <x v="47"/>
    <n v="325"/>
    <n v="40"/>
    <n v="13000"/>
    <x v="612"/>
    <d v="2024-01-27T00:00:00"/>
  </r>
  <r>
    <n v="45569"/>
    <s v="PL284"/>
    <x v="32"/>
    <n v="184.57"/>
    <n v="38"/>
    <n v="7013.66"/>
    <x v="613"/>
    <d v="2024-01-14T00:00:00"/>
  </r>
  <r>
    <n v="51285"/>
    <s v="HN871"/>
    <x v="44"/>
    <n v="913.18"/>
    <n v="16"/>
    <n v="14610.88"/>
    <x v="288"/>
    <d v="2024-02-03T00:00:00"/>
  </r>
  <r>
    <n v="26679"/>
    <s v="HN871"/>
    <x v="48"/>
    <n v="95.12"/>
    <n v="7"/>
    <n v="665.84"/>
    <x v="125"/>
    <d v="2023-08-28T00:00:00"/>
  </r>
  <r>
    <n v="26798"/>
    <s v="MT731"/>
    <x v="37"/>
    <n v="753.12"/>
    <n v="12"/>
    <n v="9037.44"/>
    <x v="265"/>
    <d v="2023-12-19T00:00:00"/>
  </r>
  <r>
    <n v="49185"/>
    <s v="SL727"/>
    <x v="39"/>
    <n v="402.36"/>
    <n v="4"/>
    <n v="1609.44"/>
    <x v="396"/>
    <d v="2023-05-16T00:00:00"/>
  </r>
  <r>
    <n v="28580"/>
    <s v="HN871"/>
    <x v="30"/>
    <n v="988.73"/>
    <n v="2"/>
    <n v="1977.46"/>
    <x v="391"/>
    <d v="2023-09-12T00:00:00"/>
  </r>
  <r>
    <n v="19585"/>
    <s v="MT731"/>
    <x v="4"/>
    <n v="546.64"/>
    <n v="49"/>
    <n v="26785.360000000001"/>
    <x v="430"/>
    <d v="2023-02-10T00:00:00"/>
  </r>
  <r>
    <n v="97561"/>
    <s v="SV938"/>
    <x v="30"/>
    <n v="988.73"/>
    <n v="3"/>
    <n v="2966.19"/>
    <x v="592"/>
    <d v="2023-11-24T00:00:00"/>
  </r>
  <r>
    <n v="33387"/>
    <s v="GH786"/>
    <x v="32"/>
    <n v="184.57"/>
    <n v="49"/>
    <n v="9043.93"/>
    <x v="155"/>
    <d v="2023-11-12T00:00:00"/>
  </r>
  <r>
    <n v="94226"/>
    <s v="BL462"/>
    <x v="41"/>
    <n v="158.66999999999999"/>
    <n v="5"/>
    <n v="793.35"/>
    <x v="90"/>
    <d v="2024-07-19T00:00:00"/>
  </r>
  <r>
    <n v="65751"/>
    <s v="MS200"/>
    <x v="10"/>
    <n v="233.83"/>
    <n v="4"/>
    <n v="935.32"/>
    <x v="15"/>
    <d v="2024-12-15T00:00:00"/>
  </r>
  <r>
    <n v="24381"/>
    <s v="BZ515"/>
    <x v="8"/>
    <n v="596.97"/>
    <n v="22"/>
    <n v="13133.34"/>
    <x v="86"/>
    <d v="2024-03-06T00:00:00"/>
  </r>
  <r>
    <n v="17368"/>
    <s v="HL575"/>
    <x v="4"/>
    <n v="546.64"/>
    <n v="18"/>
    <n v="9839.52"/>
    <x v="614"/>
    <d v="2023-11-16T00:00:00"/>
  </r>
  <r>
    <n v="87058"/>
    <s v="GB310"/>
    <x v="29"/>
    <n v="404.9"/>
    <n v="14"/>
    <n v="5668.6"/>
    <x v="454"/>
    <d v="2024-09-29T00:00:00"/>
  </r>
  <r>
    <n v="99220"/>
    <s v="HG412"/>
    <x v="7"/>
    <n v="101.12"/>
    <n v="41"/>
    <n v="4145.92"/>
    <x v="468"/>
    <d v="2023-09-03T00:00:00"/>
  </r>
  <r>
    <n v="65785"/>
    <s v="MS200"/>
    <x v="33"/>
    <n v="705.68"/>
    <n v="34"/>
    <n v="23993.119999999999"/>
    <x v="128"/>
    <d v="2023-04-18T00:00:00"/>
  </r>
  <r>
    <n v="32560"/>
    <s v="GB310"/>
    <x v="14"/>
    <n v="112.52"/>
    <n v="40"/>
    <n v="4500.8"/>
    <x v="366"/>
    <d v="2023-09-08T00:00:00"/>
  </r>
  <r>
    <n v="15852"/>
    <s v="HG412"/>
    <x v="49"/>
    <n v="761.92"/>
    <n v="42"/>
    <n v="32000.639999999999"/>
    <x v="219"/>
    <d v="2023-02-03T00:00:00"/>
  </r>
  <r>
    <n v="53400"/>
    <s v="GB310"/>
    <x v="48"/>
    <n v="95.12"/>
    <n v="30"/>
    <n v="2853.6"/>
    <x v="127"/>
    <d v="2023-07-22T00:00:00"/>
  </r>
  <r>
    <n v="77945"/>
    <s v="WI591"/>
    <x v="49"/>
    <n v="761.92"/>
    <n v="34"/>
    <n v="25905.279999999999"/>
    <x v="408"/>
    <d v="2024-04-30T00:00:00"/>
  </r>
  <r>
    <n v="67833"/>
    <s v="SV938"/>
    <x v="28"/>
    <n v="641.34"/>
    <n v="11"/>
    <n v="7054.74"/>
    <x v="438"/>
    <d v="2024-02-10T00:00:00"/>
  </r>
  <r>
    <n v="84649"/>
    <s v="CB356"/>
    <x v="10"/>
    <n v="233.83"/>
    <n v="6"/>
    <n v="1402.98"/>
    <x v="278"/>
    <d v="2023-11-06T00:00:00"/>
  </r>
  <r>
    <n v="26434"/>
    <s v="GH786"/>
    <x v="10"/>
    <n v="233.83"/>
    <n v="5"/>
    <n v="1169.1500000000001"/>
    <x v="405"/>
    <d v="2023-12-06T00:00:00"/>
  </r>
  <r>
    <n v="98008"/>
    <s v="HG412"/>
    <x v="10"/>
    <n v="233.83"/>
    <n v="26"/>
    <n v="6079.58"/>
    <x v="212"/>
    <d v="2023-07-08T00:00:00"/>
  </r>
  <r>
    <n v="97526"/>
    <s v="MT731"/>
    <x v="4"/>
    <n v="546.64"/>
    <n v="33"/>
    <n v="18039.12"/>
    <x v="126"/>
    <d v="2024-05-21T00:00:00"/>
  </r>
  <r>
    <n v="33865"/>
    <s v="SV938"/>
    <x v="3"/>
    <n v="449.74"/>
    <n v="20"/>
    <n v="8994.7999999999993"/>
    <x v="605"/>
    <d v="2024-03-29T00:00:00"/>
  </r>
  <r>
    <n v="47824"/>
    <s v="GB310"/>
    <x v="20"/>
    <n v="93.68"/>
    <n v="48"/>
    <n v="4496.6400000000003"/>
    <x v="610"/>
    <d v="2023-12-27T00:00:00"/>
  </r>
  <r>
    <n v="63911"/>
    <s v="BL462"/>
    <x v="38"/>
    <n v="45.72"/>
    <n v="26"/>
    <n v="1188.72"/>
    <x v="259"/>
    <d v="2024-05-07T00:00:00"/>
  </r>
  <r>
    <n v="53358"/>
    <s v="WI591"/>
    <x v="47"/>
    <n v="325"/>
    <n v="34"/>
    <n v="11050"/>
    <x v="366"/>
    <d v="2023-10-25T00:00:00"/>
  </r>
  <r>
    <n v="64898"/>
    <s v="GH786"/>
    <x v="47"/>
    <n v="325"/>
    <n v="44"/>
    <n v="14300"/>
    <x v="615"/>
    <d v="2024-01-10T00:00:00"/>
  </r>
  <r>
    <n v="54907"/>
    <s v="WD343"/>
    <x v="36"/>
    <n v="796.51"/>
    <n v="14"/>
    <n v="11151.14"/>
    <x v="80"/>
    <d v="2023-10-06T00:00:00"/>
  </r>
  <r>
    <n v="85896"/>
    <s v="MT731"/>
    <x v="21"/>
    <n v="534.77"/>
    <n v="32"/>
    <n v="17112.64"/>
    <x v="558"/>
    <d v="2023-12-20T00:00:00"/>
  </r>
  <r>
    <n v="76453"/>
    <s v="HN871"/>
    <x v="12"/>
    <n v="875.47"/>
    <n v="12"/>
    <n v="10505.64"/>
    <x v="461"/>
    <d v="2024-05-22T00:00:00"/>
  </r>
  <r>
    <n v="63527"/>
    <s v="BZ515"/>
    <x v="10"/>
    <n v="233.83"/>
    <n v="40"/>
    <n v="9353.2000000000007"/>
    <x v="395"/>
    <d v="2023-09-28T00:00:00"/>
  </r>
  <r>
    <n v="53639"/>
    <s v="HL575"/>
    <x v="8"/>
    <n v="596.97"/>
    <n v="46"/>
    <n v="27460.62"/>
    <x v="269"/>
    <d v="2023-12-29T00:00:00"/>
  </r>
  <r>
    <n v="44028"/>
    <s v="HN871"/>
    <x v="35"/>
    <n v="611.66"/>
    <n v="10"/>
    <n v="6116.6"/>
    <x v="616"/>
    <d v="2024-10-23T00:00:00"/>
  </r>
  <r>
    <n v="22331"/>
    <s v="WD343"/>
    <x v="31"/>
    <n v="346.37"/>
    <n v="33"/>
    <n v="11430.21"/>
    <x v="132"/>
    <d v="2023-07-12T00:00:00"/>
  </r>
  <r>
    <n v="22975"/>
    <s v="WI591"/>
    <x v="42"/>
    <n v="430.1"/>
    <n v="18"/>
    <n v="7741.8"/>
    <x v="327"/>
    <d v="2023-09-08T00:00:00"/>
  </r>
  <r>
    <n v="90601"/>
    <s v="GH786"/>
    <x v="29"/>
    <n v="404.9"/>
    <n v="1"/>
    <n v="404.9"/>
    <x v="369"/>
    <d v="2024-02-04T00:00:00"/>
  </r>
  <r>
    <n v="22989"/>
    <s v="WD343"/>
    <x v="45"/>
    <n v="890.84"/>
    <n v="30"/>
    <n v="26725.200000000001"/>
    <x v="103"/>
    <d v="2023-06-29T00:00:00"/>
  </r>
  <r>
    <n v="38182"/>
    <s v="HG412"/>
    <x v="12"/>
    <n v="875.47"/>
    <n v="31"/>
    <n v="27139.57"/>
    <x v="317"/>
    <d v="2023-12-26T00:00:00"/>
  </r>
  <r>
    <n v="41743"/>
    <s v="GB310"/>
    <x v="20"/>
    <n v="93.68"/>
    <n v="9"/>
    <n v="843.12"/>
    <x v="494"/>
    <d v="2023-10-01T00:00:00"/>
  </r>
  <r>
    <n v="37964"/>
    <s v="WI591"/>
    <x v="41"/>
    <n v="158.66999999999999"/>
    <n v="4"/>
    <n v="634.67999999999995"/>
    <x v="47"/>
    <d v="2024-09-03T00:00:00"/>
  </r>
  <r>
    <n v="92261"/>
    <s v="BL462"/>
    <x v="38"/>
    <n v="45.72"/>
    <n v="23"/>
    <n v="1051.56"/>
    <x v="165"/>
    <d v="2023-02-14T00:00:00"/>
  </r>
  <r>
    <n v="13114"/>
    <s v="CB356"/>
    <x v="20"/>
    <n v="93.68"/>
    <n v="14"/>
    <n v="1311.52"/>
    <x v="249"/>
    <d v="2024-02-18T00:00:00"/>
  </r>
  <r>
    <n v="47618"/>
    <s v="HL575"/>
    <x v="21"/>
    <n v="534.77"/>
    <n v="43"/>
    <n v="22995.11"/>
    <x v="42"/>
    <d v="2024-08-19T00:00:00"/>
  </r>
  <r>
    <n v="72143"/>
    <s v="FL553"/>
    <x v="20"/>
    <n v="93.68"/>
    <n v="35"/>
    <n v="3278.8"/>
    <x v="617"/>
    <d v="2023-04-24T00:00:00"/>
  </r>
  <r>
    <n v="65315"/>
    <s v="SV938"/>
    <x v="22"/>
    <n v="468.95"/>
    <n v="24"/>
    <n v="11254.8"/>
    <x v="418"/>
    <d v="2024-04-02T00:00:00"/>
  </r>
  <r>
    <n v="93811"/>
    <s v="BZ515"/>
    <x v="40"/>
    <n v="795.19"/>
    <n v="36"/>
    <n v="28626.84"/>
    <x v="439"/>
    <d v="2024-07-28T00:00:00"/>
  </r>
  <r>
    <n v="42174"/>
    <s v="BZ515"/>
    <x v="24"/>
    <n v="323.73"/>
    <n v="15"/>
    <n v="4855.95"/>
    <x v="393"/>
    <d v="2023-04-19T00:00:00"/>
  </r>
  <r>
    <n v="32187"/>
    <s v="BZ515"/>
    <x v="4"/>
    <n v="546.64"/>
    <n v="23"/>
    <n v="12572.72"/>
    <x v="156"/>
    <d v="2023-06-22T00:00:00"/>
  </r>
  <r>
    <n v="44983"/>
    <s v="RR354"/>
    <x v="10"/>
    <n v="233.83"/>
    <n v="19"/>
    <n v="4442.7700000000004"/>
    <x v="606"/>
    <d v="2024-06-06T00:00:00"/>
  </r>
  <r>
    <n v="19098"/>
    <s v="RR309"/>
    <x v="28"/>
    <n v="641.34"/>
    <n v="30"/>
    <n v="19240.2"/>
    <x v="212"/>
    <d v="2024-05-16T00:00:00"/>
  </r>
  <r>
    <n v="40515"/>
    <s v="OS572"/>
    <x v="3"/>
    <n v="449.74"/>
    <n v="27"/>
    <n v="12142.98"/>
    <x v="519"/>
    <d v="2024-10-22T00:00:00"/>
  </r>
  <r>
    <n v="30002"/>
    <s v="MS200"/>
    <x v="23"/>
    <n v="533.15"/>
    <n v="6"/>
    <n v="3198.9"/>
    <x v="303"/>
    <d v="2023-02-18T00:00:00"/>
  </r>
  <r>
    <n v="52198"/>
    <s v="FL553"/>
    <x v="6"/>
    <n v="222.47"/>
    <n v="4"/>
    <n v="889.88"/>
    <x v="589"/>
    <d v="2024-04-26T00:00:00"/>
  </r>
  <r>
    <n v="78195"/>
    <s v="HG412"/>
    <x v="45"/>
    <n v="890.84"/>
    <n v="34"/>
    <n v="30288.560000000001"/>
    <x v="572"/>
    <d v="2024-08-01T00:00:00"/>
  </r>
  <r>
    <n v="14352"/>
    <s v="GP381"/>
    <x v="26"/>
    <n v="730.09"/>
    <n v="43"/>
    <n v="31393.87"/>
    <x v="338"/>
    <d v="2023-12-30T00:00:00"/>
  </r>
  <r>
    <n v="21287"/>
    <s v="CB356"/>
    <x v="46"/>
    <n v="346.4"/>
    <n v="30"/>
    <n v="10392"/>
    <x v="403"/>
    <d v="2023-03-19T00:00:00"/>
  </r>
  <r>
    <n v="38517"/>
    <s v="MT731"/>
    <x v="38"/>
    <n v="45.72"/>
    <n v="46"/>
    <n v="2103.12"/>
    <x v="497"/>
    <d v="2023-04-25T00:00:00"/>
  </r>
  <r>
    <n v="70372"/>
    <s v="GB310"/>
    <x v="3"/>
    <n v="449.74"/>
    <n v="49"/>
    <n v="22037.26"/>
    <x v="576"/>
    <d v="2024-07-19T00:00:00"/>
  </r>
  <r>
    <n v="40023"/>
    <s v="PL284"/>
    <x v="47"/>
    <n v="325"/>
    <n v="28"/>
    <n v="9100"/>
    <x v="419"/>
    <d v="2024-11-03T00:00:00"/>
  </r>
  <r>
    <n v="79493"/>
    <s v="CB356"/>
    <x v="38"/>
    <n v="45.72"/>
    <n v="26"/>
    <n v="1188.72"/>
    <x v="618"/>
    <d v="2023-02-25T00:00:00"/>
  </r>
  <r>
    <n v="53859"/>
    <s v="RR309"/>
    <x v="10"/>
    <n v="233.83"/>
    <n v="42"/>
    <n v="9820.86"/>
    <x v="224"/>
    <d v="2023-08-07T00:00:00"/>
  </r>
  <r>
    <n v="93238"/>
    <s v="MT731"/>
    <x v="0"/>
    <n v="855.99"/>
    <n v="32"/>
    <n v="27391.68"/>
    <x v="375"/>
    <d v="2023-11-25T00:00:00"/>
  </r>
  <r>
    <n v="64188"/>
    <s v="HN871"/>
    <x v="31"/>
    <n v="346.37"/>
    <n v="36"/>
    <n v="12469.32"/>
    <x v="257"/>
    <d v="2024-04-16T00:00:00"/>
  </r>
  <r>
    <n v="88130"/>
    <s v="RR309"/>
    <x v="17"/>
    <n v="366.3"/>
    <n v="34"/>
    <n v="12454.2"/>
    <x v="58"/>
    <d v="2023-08-13T00:00:00"/>
  </r>
  <r>
    <n v="93148"/>
    <s v="GP381"/>
    <x v="35"/>
    <n v="611.66"/>
    <n v="27"/>
    <n v="16514.82"/>
    <x v="96"/>
    <d v="2023-04-08T00:00:00"/>
  </r>
  <r>
    <n v="22271"/>
    <s v="FL553"/>
    <x v="43"/>
    <n v="870.6"/>
    <n v="46"/>
    <n v="40047.599999999999"/>
    <x v="285"/>
    <d v="2024-04-27T00:00:00"/>
  </r>
  <r>
    <n v="66081"/>
    <s v="GB310"/>
    <x v="46"/>
    <n v="346.4"/>
    <n v="32"/>
    <n v="11084.8"/>
    <x v="619"/>
    <d v="2023-11-01T00:00:00"/>
  </r>
  <r>
    <n v="75111"/>
    <s v="PL284"/>
    <x v="24"/>
    <n v="323.73"/>
    <n v="38"/>
    <n v="12301.74"/>
    <x v="142"/>
    <d v="2024-08-02T00:00:00"/>
  </r>
  <r>
    <n v="66218"/>
    <s v="SL727"/>
    <x v="16"/>
    <n v="654.4"/>
    <n v="15"/>
    <n v="9816"/>
    <x v="579"/>
    <d v="2024-01-07T00:00:00"/>
  </r>
  <r>
    <n v="58676"/>
    <s v="GP381"/>
    <x v="32"/>
    <n v="184.57"/>
    <n v="19"/>
    <n v="3506.83"/>
    <x v="494"/>
    <d v="2024-01-18T00:00:00"/>
  </r>
  <r>
    <n v="89036"/>
    <s v="MT731"/>
    <x v="5"/>
    <n v="622.16"/>
    <n v="45"/>
    <n v="27997.200000000001"/>
    <x v="169"/>
    <d v="2023-06-15T00:00:00"/>
  </r>
  <r>
    <n v="15803"/>
    <s v="MS200"/>
    <x v="2"/>
    <n v="68.05"/>
    <n v="5"/>
    <n v="340.25"/>
    <x v="620"/>
    <d v="2023-11-26T00:00:00"/>
  </r>
  <r>
    <n v="82484"/>
    <s v="BL462"/>
    <x v="37"/>
    <n v="753.12"/>
    <n v="12"/>
    <n v="9037.44"/>
    <x v="484"/>
    <d v="2023-09-01T00:00:00"/>
  </r>
  <r>
    <n v="40180"/>
    <s v="PL284"/>
    <x v="49"/>
    <n v="761.92"/>
    <n v="2"/>
    <n v="1523.84"/>
    <x v="306"/>
    <d v="2024-12-16T00:00:00"/>
  </r>
  <r>
    <n v="14998"/>
    <s v="BZ515"/>
    <x v="45"/>
    <n v="890.84"/>
    <n v="3"/>
    <n v="2672.52"/>
    <x v="559"/>
    <d v="2024-12-01T00:00:00"/>
  </r>
  <r>
    <n v="77014"/>
    <s v="MT731"/>
    <x v="27"/>
    <n v="399.32"/>
    <n v="13"/>
    <n v="5191.16"/>
    <x v="80"/>
    <d v="2024-12-07T00:00:00"/>
  </r>
  <r>
    <n v="70774"/>
    <s v="RR354"/>
    <x v="26"/>
    <n v="730.09"/>
    <n v="2"/>
    <n v="1460.18"/>
    <x v="450"/>
    <d v="2023-02-07T00:00:00"/>
  </r>
  <r>
    <n v="30062"/>
    <s v="BL462"/>
    <x v="46"/>
    <n v="346.4"/>
    <n v="9"/>
    <n v="3117.6"/>
    <x v="188"/>
    <d v="2024-03-03T00:00:00"/>
  </r>
  <r>
    <n v="88856"/>
    <s v="SV938"/>
    <x v="18"/>
    <n v="617.33000000000004"/>
    <n v="50"/>
    <n v="30866.5"/>
    <x v="321"/>
    <d v="2023-07-03T00:00:00"/>
  </r>
  <r>
    <n v="20851"/>
    <s v="GB310"/>
    <x v="9"/>
    <n v="796.94"/>
    <n v="4"/>
    <n v="3187.76"/>
    <x v="107"/>
    <d v="2024-04-28T00:00:00"/>
  </r>
  <r>
    <n v="16862"/>
    <s v="MT731"/>
    <x v="46"/>
    <n v="346.4"/>
    <n v="44"/>
    <n v="15241.6"/>
    <x v="185"/>
    <d v="2023-03-10T00:00:00"/>
  </r>
  <r>
    <n v="67055"/>
    <s v="HG412"/>
    <x v="20"/>
    <n v="93.68"/>
    <n v="32"/>
    <n v="2997.76"/>
    <x v="62"/>
    <d v="2024-11-09T00:00:00"/>
  </r>
  <r>
    <n v="42033"/>
    <s v="RR309"/>
    <x v="35"/>
    <n v="611.66"/>
    <n v="5"/>
    <n v="3058.3"/>
    <x v="310"/>
    <d v="2024-04-29T00:00:00"/>
  </r>
  <r>
    <n v="75091"/>
    <s v="PL284"/>
    <x v="18"/>
    <n v="617.33000000000004"/>
    <n v="40"/>
    <n v="24693.200000000001"/>
    <x v="348"/>
    <d v="2023-08-26T00:00:00"/>
  </r>
  <r>
    <n v="87336"/>
    <s v="CB356"/>
    <x v="39"/>
    <n v="402.36"/>
    <n v="10"/>
    <n v="4023.6"/>
    <x v="225"/>
    <d v="2023-08-16T00:00:00"/>
  </r>
  <r>
    <n v="10677"/>
    <s v="GB310"/>
    <x v="5"/>
    <n v="622.16"/>
    <n v="2"/>
    <n v="1244.32"/>
    <x v="46"/>
    <d v="2023-06-05T00:00:00"/>
  </r>
  <r>
    <n v="78242"/>
    <s v="OS572"/>
    <x v="4"/>
    <n v="546.64"/>
    <n v="21"/>
    <n v="11479.44"/>
    <x v="123"/>
    <d v="2024-08-19T00:00:00"/>
  </r>
  <r>
    <n v="32517"/>
    <s v="MT731"/>
    <x v="36"/>
    <n v="796.51"/>
    <n v="12"/>
    <n v="9558.1200000000008"/>
    <x v="234"/>
    <d v="2024-01-04T00:00:00"/>
  </r>
  <r>
    <n v="67333"/>
    <s v="WI591"/>
    <x v="2"/>
    <n v="68.05"/>
    <n v="11"/>
    <n v="748.55"/>
    <x v="9"/>
    <d v="2024-05-21T00:00:00"/>
  </r>
  <r>
    <n v="23012"/>
    <s v="SL727"/>
    <x v="3"/>
    <n v="449.74"/>
    <n v="42"/>
    <n v="18889.080000000002"/>
    <x v="589"/>
    <d v="2023-11-17T00:00:00"/>
  </r>
  <r>
    <n v="81450"/>
    <s v="GP381"/>
    <x v="22"/>
    <n v="468.95"/>
    <n v="31"/>
    <n v="14537.45"/>
    <x v="255"/>
    <d v="2024-08-21T00:00:00"/>
  </r>
  <r>
    <n v="15321"/>
    <s v="OS572"/>
    <x v="44"/>
    <n v="913.18"/>
    <n v="18"/>
    <n v="16437.240000000002"/>
    <x v="243"/>
    <d v="2023-06-20T00:00:00"/>
  </r>
  <r>
    <n v="78135"/>
    <s v="WI591"/>
    <x v="22"/>
    <n v="468.95"/>
    <n v="19"/>
    <n v="8910.0499999999993"/>
    <x v="451"/>
    <d v="2023-11-04T00:00:00"/>
  </r>
  <r>
    <n v="15324"/>
    <s v="RR309"/>
    <x v="0"/>
    <n v="855.99"/>
    <n v="19"/>
    <n v="16263.81"/>
    <x v="136"/>
    <d v="2023-09-03T00:00:00"/>
  </r>
  <r>
    <n v="81835"/>
    <s v="GH786"/>
    <x v="32"/>
    <n v="184.57"/>
    <n v="14"/>
    <n v="2583.98"/>
    <x v="59"/>
    <d v="2023-07-05T00:00:00"/>
  </r>
  <r>
    <n v="73029"/>
    <s v="GB310"/>
    <x v="39"/>
    <n v="402.36"/>
    <n v="49"/>
    <n v="19715.64"/>
    <x v="555"/>
    <d v="2024-08-02T00:00:00"/>
  </r>
  <r>
    <n v="88449"/>
    <s v="FL553"/>
    <x v="0"/>
    <n v="855.99"/>
    <n v="11"/>
    <n v="9415.89"/>
    <x v="621"/>
    <d v="2024-02-09T00:00:00"/>
  </r>
  <r>
    <n v="78095"/>
    <s v="GB310"/>
    <x v="45"/>
    <n v="890.84"/>
    <n v="10"/>
    <n v="8908.4"/>
    <x v="14"/>
    <d v="2023-09-02T00:00:00"/>
  </r>
  <r>
    <n v="32299"/>
    <s v="WD343"/>
    <x v="4"/>
    <n v="546.64"/>
    <n v="16"/>
    <n v="8746.24"/>
    <x v="303"/>
    <d v="2024-09-19T00:00:00"/>
  </r>
  <r>
    <n v="82588"/>
    <s v="WD343"/>
    <x v="22"/>
    <n v="468.95"/>
    <n v="5"/>
    <n v="2344.75"/>
    <x v="616"/>
    <d v="2024-08-31T00:00:00"/>
  </r>
  <r>
    <n v="27476"/>
    <s v="RR309"/>
    <x v="37"/>
    <n v="753.12"/>
    <n v="11"/>
    <n v="8284.32"/>
    <x v="75"/>
    <d v="2023-03-09T00:00:00"/>
  </r>
  <r>
    <n v="61176"/>
    <s v="FL553"/>
    <x v="1"/>
    <n v="683.98"/>
    <n v="4"/>
    <n v="2735.92"/>
    <x v="22"/>
    <d v="2023-07-30T00:00:00"/>
  </r>
  <r>
    <n v="66688"/>
    <s v="GP381"/>
    <x v="47"/>
    <n v="325"/>
    <n v="37"/>
    <n v="12025"/>
    <x v="364"/>
    <d v="2024-05-16T00:00:00"/>
  </r>
  <r>
    <n v="50468"/>
    <s v="HG412"/>
    <x v="24"/>
    <n v="323.73"/>
    <n v="25"/>
    <n v="8093.25"/>
    <x v="580"/>
    <d v="2023-03-28T00:00:00"/>
  </r>
  <r>
    <n v="91843"/>
    <s v="PL284"/>
    <x v="45"/>
    <n v="890.84"/>
    <n v="17"/>
    <n v="15144.28"/>
    <x v="603"/>
    <d v="2023-12-21T00:00:00"/>
  </r>
  <r>
    <n v="53759"/>
    <s v="RR354"/>
    <x v="33"/>
    <n v="705.68"/>
    <n v="3"/>
    <n v="2117.04"/>
    <x v="329"/>
    <d v="2023-02-12T00:00:00"/>
  </r>
  <r>
    <n v="66542"/>
    <s v="HG412"/>
    <x v="3"/>
    <n v="449.74"/>
    <n v="11"/>
    <n v="4947.1400000000003"/>
    <x v="444"/>
    <d v="2023-08-30T00:00:00"/>
  </r>
  <r>
    <n v="36606"/>
    <s v="HL575"/>
    <x v="7"/>
    <n v="101.12"/>
    <n v="46"/>
    <n v="4651.5200000000004"/>
    <x v="524"/>
    <d v="2024-05-21T00:00:00"/>
  </r>
  <r>
    <n v="99261"/>
    <s v="WI591"/>
    <x v="42"/>
    <n v="430.1"/>
    <n v="30"/>
    <n v="12903"/>
    <x v="409"/>
    <d v="2023-09-02T00:00:00"/>
  </r>
  <r>
    <n v="73064"/>
    <s v="CB356"/>
    <x v="4"/>
    <n v="546.64"/>
    <n v="4"/>
    <n v="2186.56"/>
    <x v="177"/>
    <d v="2024-04-14T00:00:00"/>
  </r>
  <r>
    <n v="97788"/>
    <s v="HN871"/>
    <x v="31"/>
    <n v="346.37"/>
    <n v="46"/>
    <n v="15933.02"/>
    <x v="622"/>
    <d v="2023-03-26T00:00:00"/>
  </r>
  <r>
    <n v="87317"/>
    <s v="MT731"/>
    <x v="8"/>
    <n v="596.97"/>
    <n v="7"/>
    <n v="4178.79"/>
    <x v="623"/>
    <d v="2024-11-10T00:00:00"/>
  </r>
  <r>
    <n v="91642"/>
    <s v="GP381"/>
    <x v="9"/>
    <n v="796.94"/>
    <n v="22"/>
    <n v="17532.68"/>
    <x v="55"/>
    <d v="2024-02-14T00:00:00"/>
  </r>
  <r>
    <n v="80708"/>
    <s v="FL553"/>
    <x v="38"/>
    <n v="45.72"/>
    <n v="14"/>
    <n v="640.08000000000004"/>
    <x v="221"/>
    <d v="2023-07-27T00:00:00"/>
  </r>
  <r>
    <n v="78423"/>
    <s v="GB310"/>
    <x v="6"/>
    <n v="222.47"/>
    <n v="45"/>
    <n v="10011.15"/>
    <x v="624"/>
    <d v="2023-12-24T00:00:00"/>
  </r>
  <r>
    <n v="50373"/>
    <s v="BZ515"/>
    <x v="0"/>
    <n v="855.99"/>
    <n v="10"/>
    <n v="8559.9"/>
    <x v="304"/>
    <d v="2023-04-16T00:00:00"/>
  </r>
  <r>
    <n v="79173"/>
    <s v="SL727"/>
    <x v="13"/>
    <n v="110.41"/>
    <n v="19"/>
    <n v="2097.79"/>
    <x v="365"/>
    <d v="2023-10-26T00:00:00"/>
  </r>
  <r>
    <n v="77444"/>
    <s v="SL727"/>
    <x v="44"/>
    <n v="913.18"/>
    <n v="45"/>
    <n v="41093.1"/>
    <x v="506"/>
    <d v="2024-06-02T00:00:00"/>
  </r>
  <r>
    <n v="76784"/>
    <s v="WD343"/>
    <x v="43"/>
    <n v="870.6"/>
    <n v="30"/>
    <n v="26118"/>
    <x v="261"/>
    <d v="2023-12-27T00:00:00"/>
  </r>
  <r>
    <n v="79443"/>
    <s v="MS200"/>
    <x v="24"/>
    <n v="323.73"/>
    <n v="44"/>
    <n v="14244.12"/>
    <x v="218"/>
    <d v="2024-05-06T00:00:00"/>
  </r>
  <r>
    <n v="11132"/>
    <s v="SV938"/>
    <x v="39"/>
    <n v="402.36"/>
    <n v="12"/>
    <n v="4828.32"/>
    <x v="179"/>
    <d v="2023-02-12T00:00:00"/>
  </r>
  <r>
    <n v="33474"/>
    <s v="SV938"/>
    <x v="46"/>
    <n v="346.4"/>
    <n v="35"/>
    <n v="12124"/>
    <x v="417"/>
    <d v="2023-05-18T00:00:00"/>
  </r>
  <r>
    <n v="45215"/>
    <s v="RR309"/>
    <x v="17"/>
    <n v="366.3"/>
    <n v="9"/>
    <n v="3296.7"/>
    <x v="525"/>
    <d v="2024-01-10T00:00:00"/>
  </r>
  <r>
    <n v="59465"/>
    <s v="PL284"/>
    <x v="31"/>
    <n v="346.37"/>
    <n v="5"/>
    <n v="1731.85"/>
    <x v="546"/>
    <d v="2024-07-30T00:00:00"/>
  </r>
  <r>
    <n v="36992"/>
    <s v="MT731"/>
    <x v="28"/>
    <n v="641.34"/>
    <n v="31"/>
    <n v="19881.54"/>
    <x v="292"/>
    <d v="2023-05-11T00:00:00"/>
  </r>
  <r>
    <n v="79034"/>
    <s v="MT731"/>
    <x v="35"/>
    <n v="611.66"/>
    <n v="48"/>
    <n v="29359.68"/>
    <x v="625"/>
    <d v="2023-03-13T00:00:00"/>
  </r>
  <r>
    <n v="47550"/>
    <s v="RR309"/>
    <x v="40"/>
    <n v="795.19"/>
    <n v="27"/>
    <n v="21470.13"/>
    <x v="83"/>
    <d v="2024-11-30T00:00:00"/>
  </r>
  <r>
    <n v="41255"/>
    <s v="FL553"/>
    <x v="26"/>
    <n v="730.09"/>
    <n v="46"/>
    <n v="33584.14"/>
    <x v="305"/>
    <d v="2024-06-28T00:00:00"/>
  </r>
  <r>
    <n v="43961"/>
    <s v="CB356"/>
    <x v="3"/>
    <n v="449.74"/>
    <n v="41"/>
    <n v="18439.34"/>
    <x v="428"/>
    <d v="2023-06-08T00:00:00"/>
  </r>
  <r>
    <n v="80233"/>
    <s v="GB310"/>
    <x v="40"/>
    <n v="795.19"/>
    <n v="31"/>
    <n v="24650.89"/>
    <x v="311"/>
    <d v="2024-05-25T00:00:00"/>
  </r>
  <r>
    <n v="42775"/>
    <s v="HN871"/>
    <x v="19"/>
    <n v="682.74"/>
    <n v="21"/>
    <n v="14337.54"/>
    <x v="170"/>
    <d v="2024-07-04T00:00:00"/>
  </r>
  <r>
    <n v="51232"/>
    <s v="MS200"/>
    <x v="13"/>
    <n v="110.41"/>
    <n v="13"/>
    <n v="1435.33"/>
    <x v="200"/>
    <d v="2024-12-27T00:00:00"/>
  </r>
  <r>
    <n v="33591"/>
    <s v="SV938"/>
    <x v="12"/>
    <n v="875.47"/>
    <n v="8"/>
    <n v="7003.76"/>
    <x v="2"/>
    <d v="2023-08-31T00:00:00"/>
  </r>
  <r>
    <n v="38337"/>
    <s v="GP381"/>
    <x v="7"/>
    <n v="101.12"/>
    <n v="26"/>
    <n v="2629.12"/>
    <x v="593"/>
    <d v="2023-05-03T00:00:00"/>
  </r>
  <r>
    <n v="23581"/>
    <s v="RR354"/>
    <x v="23"/>
    <n v="533.15"/>
    <n v="26"/>
    <n v="13861.9"/>
    <x v="626"/>
    <d v="2023-05-19T00:00:00"/>
  </r>
  <r>
    <n v="98888"/>
    <s v="MT731"/>
    <x v="6"/>
    <n v="222.47"/>
    <n v="21"/>
    <n v="4671.87"/>
    <x v="184"/>
    <d v="2024-08-11T00:00:00"/>
  </r>
  <r>
    <n v="60931"/>
    <s v="SL727"/>
    <x v="35"/>
    <n v="611.66"/>
    <n v="17"/>
    <n v="10398.219999999999"/>
    <x v="627"/>
    <d v="2024-09-07T00:00:00"/>
  </r>
  <r>
    <n v="67242"/>
    <s v="HG412"/>
    <x v="47"/>
    <n v="325"/>
    <n v="5"/>
    <n v="1625"/>
    <x v="550"/>
    <d v="2024-07-22T00:00:00"/>
  </r>
  <r>
    <n v="61943"/>
    <s v="PL284"/>
    <x v="24"/>
    <n v="323.73"/>
    <n v="28"/>
    <n v="9064.44"/>
    <x v="280"/>
    <d v="2023-07-05T00:00:00"/>
  </r>
  <r>
    <n v="15552"/>
    <s v="WD343"/>
    <x v="41"/>
    <n v="158.66999999999999"/>
    <n v="2"/>
    <n v="317.33999999999997"/>
    <x v="102"/>
    <d v="2023-07-24T00:00:00"/>
  </r>
  <r>
    <n v="41164"/>
    <s v="GP381"/>
    <x v="21"/>
    <n v="534.77"/>
    <n v="11"/>
    <n v="5882.47"/>
    <x v="484"/>
    <d v="2024-06-29T00:00:00"/>
  </r>
  <r>
    <n v="93170"/>
    <s v="GH786"/>
    <x v="34"/>
    <n v="474.55"/>
    <n v="50"/>
    <n v="23727.5"/>
    <x v="486"/>
    <d v="2023-02-16T00:00:00"/>
  </r>
  <r>
    <n v="34681"/>
    <s v="GH786"/>
    <x v="8"/>
    <n v="596.97"/>
    <n v="19"/>
    <n v="11342.43"/>
    <x v="628"/>
    <d v="2023-04-16T00:00:00"/>
  </r>
  <r>
    <n v="68982"/>
    <s v="BL462"/>
    <x v="47"/>
    <n v="325"/>
    <n v="44"/>
    <n v="14300"/>
    <x v="232"/>
    <d v="2023-06-16T00:00:00"/>
  </r>
  <r>
    <n v="68202"/>
    <s v="BL462"/>
    <x v="40"/>
    <n v="795.19"/>
    <n v="22"/>
    <n v="17494.18"/>
    <x v="516"/>
    <d v="2023-11-02T00:00:00"/>
  </r>
  <r>
    <n v="94455"/>
    <s v="BZ515"/>
    <x v="1"/>
    <n v="683.98"/>
    <n v="5"/>
    <n v="3419.9"/>
    <x v="493"/>
    <d v="2024-05-25T00:00:00"/>
  </r>
  <r>
    <n v="64474"/>
    <s v="HL575"/>
    <x v="4"/>
    <n v="546.64"/>
    <n v="2"/>
    <n v="1093.28"/>
    <x v="73"/>
    <d v="2023-12-06T00:00:00"/>
  </r>
  <r>
    <n v="48289"/>
    <s v="BL462"/>
    <x v="16"/>
    <n v="654.4"/>
    <n v="27"/>
    <n v="17668.8"/>
    <x v="238"/>
    <d v="2023-02-25T00:00:00"/>
  </r>
  <r>
    <n v="25710"/>
    <s v="SV938"/>
    <x v="39"/>
    <n v="402.36"/>
    <n v="16"/>
    <n v="6437.76"/>
    <x v="629"/>
    <d v="2023-12-26T00:00:00"/>
  </r>
  <r>
    <n v="19138"/>
    <s v="SV938"/>
    <x v="7"/>
    <n v="101.12"/>
    <n v="24"/>
    <n v="2426.88"/>
    <x v="469"/>
    <d v="2023-11-16T00:00:00"/>
  </r>
  <r>
    <n v="49170"/>
    <s v="RR354"/>
    <x v="27"/>
    <n v="399.32"/>
    <n v="2"/>
    <n v="798.64"/>
    <x v="594"/>
    <d v="2024-03-24T00:00:00"/>
  </r>
  <r>
    <n v="77555"/>
    <s v="HN871"/>
    <x v="39"/>
    <n v="402.36"/>
    <n v="42"/>
    <n v="16899.12"/>
    <x v="139"/>
    <d v="2024-12-18T00:00:00"/>
  </r>
  <r>
    <n v="58019"/>
    <s v="HL575"/>
    <x v="14"/>
    <n v="112.52"/>
    <n v="10"/>
    <n v="1125.2"/>
    <x v="239"/>
    <d v="2023-09-25T00:00:00"/>
  </r>
  <r>
    <n v="74853"/>
    <s v="OS572"/>
    <x v="37"/>
    <n v="753.12"/>
    <n v="38"/>
    <n v="28618.560000000001"/>
    <x v="619"/>
    <d v="2024-10-16T00:00:00"/>
  </r>
  <r>
    <n v="80172"/>
    <s v="RR354"/>
    <x v="23"/>
    <n v="533.15"/>
    <n v="33"/>
    <n v="17593.95"/>
    <x v="226"/>
    <d v="2024-07-14T00:00:00"/>
  </r>
  <r>
    <n v="24725"/>
    <s v="WD343"/>
    <x v="46"/>
    <n v="346.4"/>
    <n v="3"/>
    <n v="1039.2"/>
    <x v="116"/>
    <d v="2024-04-11T00:00:00"/>
  </r>
  <r>
    <n v="97468"/>
    <s v="HN871"/>
    <x v="27"/>
    <n v="399.32"/>
    <n v="29"/>
    <n v="11580.28"/>
    <x v="26"/>
    <d v="2023-08-18T00:00:00"/>
  </r>
  <r>
    <n v="80734"/>
    <s v="MT731"/>
    <x v="39"/>
    <n v="402.36"/>
    <n v="14"/>
    <n v="5633.04"/>
    <x v="243"/>
    <d v="2024-09-14T00:00:00"/>
  </r>
  <r>
    <n v="77629"/>
    <s v="GP381"/>
    <x v="37"/>
    <n v="753.12"/>
    <n v="35"/>
    <n v="26359.200000000001"/>
    <x v="70"/>
    <d v="2023-07-09T00:00:00"/>
  </r>
  <r>
    <n v="10795"/>
    <s v="FL553"/>
    <x v="26"/>
    <n v="730.09"/>
    <n v="4"/>
    <n v="2920.36"/>
    <x v="96"/>
    <d v="2024-08-24T00:00:00"/>
  </r>
  <r>
    <n v="50726"/>
    <s v="HG412"/>
    <x v="14"/>
    <n v="112.52"/>
    <n v="40"/>
    <n v="4500.8"/>
    <x v="191"/>
    <d v="2024-04-13T00:00:00"/>
  </r>
  <r>
    <n v="53063"/>
    <s v="HG412"/>
    <x v="26"/>
    <n v="730.09"/>
    <n v="45"/>
    <n v="32854.050000000003"/>
    <x v="68"/>
    <d v="2024-04-30T00:00:00"/>
  </r>
  <r>
    <n v="30854"/>
    <s v="MS200"/>
    <x v="37"/>
    <n v="753.12"/>
    <n v="37"/>
    <n v="27865.439999999999"/>
    <x v="124"/>
    <d v="2024-11-18T00:00:00"/>
  </r>
  <r>
    <n v="61183"/>
    <s v="BL462"/>
    <x v="47"/>
    <n v="325"/>
    <n v="35"/>
    <n v="11375"/>
    <x v="470"/>
    <d v="2024-06-18T00:00:00"/>
  </r>
  <r>
    <n v="93190"/>
    <s v="SV938"/>
    <x v="40"/>
    <n v="795.19"/>
    <n v="29"/>
    <n v="23060.51"/>
    <x v="630"/>
    <d v="2023-01-23T00:00:00"/>
  </r>
  <r>
    <n v="21951"/>
    <s v="HG412"/>
    <x v="33"/>
    <n v="705.68"/>
    <n v="29"/>
    <n v="20464.72"/>
    <x v="395"/>
    <d v="2024-02-01T00:00:00"/>
  </r>
  <r>
    <n v="81699"/>
    <s v="BL462"/>
    <x v="37"/>
    <n v="753.12"/>
    <n v="28"/>
    <n v="21087.360000000001"/>
    <x v="209"/>
    <d v="2023-03-29T00:00:00"/>
  </r>
  <r>
    <n v="35611"/>
    <s v="RR354"/>
    <x v="14"/>
    <n v="112.52"/>
    <n v="41"/>
    <n v="4613.32"/>
    <x v="295"/>
    <d v="2024-01-18T00:00:00"/>
  </r>
  <r>
    <m/>
    <m/>
    <x v="50"/>
    <m/>
    <m/>
    <m/>
    <x v="63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C5D66-2340-45FA-BDAF-96C821FD9B3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C26" firstHeaderRow="1" firstDataRow="1" firstDataCol="1"/>
  <pivotFields count="14">
    <pivotField showAll="0"/>
    <pivotField showAll="0"/>
    <pivotField axis="axisRow" showAll="0">
      <items count="51">
        <item x="30"/>
        <item x="23"/>
        <item x="13"/>
        <item x="31"/>
        <item x="35"/>
        <item x="5"/>
        <item x="43"/>
        <item x="42"/>
        <item x="39"/>
        <item x="27"/>
        <item x="25"/>
        <item x="26"/>
        <item x="47"/>
        <item x="32"/>
        <item x="41"/>
        <item x="49"/>
        <item x="21"/>
        <item x="14"/>
        <item x="44"/>
        <item x="3"/>
        <item x="24"/>
        <item x="19"/>
        <item x="0"/>
        <item x="22"/>
        <item x="46"/>
        <item x="15"/>
        <item x="34"/>
        <item x="17"/>
        <item x="9"/>
        <item x="48"/>
        <item x="1"/>
        <item x="36"/>
        <item x="8"/>
        <item x="33"/>
        <item x="2"/>
        <item x="37"/>
        <item x="29"/>
        <item x="12"/>
        <item x="20"/>
        <item x="38"/>
        <item x="6"/>
        <item x="7"/>
        <item x="11"/>
        <item x="16"/>
        <item x="4"/>
        <item x="10"/>
        <item x="40"/>
        <item x="18"/>
        <item x="45"/>
        <item x="28"/>
        <item t="default"/>
      </items>
    </pivotField>
    <pivotField showAll="0"/>
    <pivotField dataField="1" showAll="0"/>
    <pivotField showAll="0"/>
    <pivotField numFmtId="164" showAll="0">
      <items count="632">
        <item x="570"/>
        <item x="584"/>
        <item x="550"/>
        <item x="496"/>
        <item x="389"/>
        <item x="461"/>
        <item x="518"/>
        <item x="608"/>
        <item x="279"/>
        <item x="580"/>
        <item x="409"/>
        <item x="80"/>
        <item x="230"/>
        <item x="630"/>
        <item x="215"/>
        <item x="507"/>
        <item x="221"/>
        <item x="9"/>
        <item x="227"/>
        <item x="289"/>
        <item x="378"/>
        <item x="245"/>
        <item x="89"/>
        <item x="97"/>
        <item x="284"/>
        <item x="36"/>
        <item x="410"/>
        <item x="176"/>
        <item x="252"/>
        <item x="142"/>
        <item x="610"/>
        <item x="616"/>
        <item x="112"/>
        <item x="232"/>
        <item x="327"/>
        <item x="538"/>
        <item x="469"/>
        <item x="154"/>
        <item x="611"/>
        <item x="265"/>
        <item x="368"/>
        <item x="510"/>
        <item x="582"/>
        <item x="402"/>
        <item x="358"/>
        <item x="157"/>
        <item x="322"/>
        <item x="17"/>
        <item x="60"/>
        <item x="260"/>
        <item x="211"/>
        <item x="407"/>
        <item x="295"/>
        <item x="380"/>
        <item x="468"/>
        <item x="86"/>
        <item x="566"/>
        <item x="359"/>
        <item x="405"/>
        <item x="430"/>
        <item x="49"/>
        <item x="223"/>
        <item x="363"/>
        <item x="480"/>
        <item x="615"/>
        <item x="559"/>
        <item x="434"/>
        <item x="459"/>
        <item x="579"/>
        <item x="463"/>
        <item x="175"/>
        <item x="251"/>
        <item x="598"/>
        <item x="53"/>
        <item x="292"/>
        <item x="136"/>
        <item x="621"/>
        <item x="168"/>
        <item x="10"/>
        <item x="317"/>
        <item x="560"/>
        <item x="311"/>
        <item x="287"/>
        <item x="319"/>
        <item x="601"/>
        <item x="533"/>
        <item x="261"/>
        <item x="330"/>
        <item x="79"/>
        <item x="96"/>
        <item x="308"/>
        <item x="445"/>
        <item x="382"/>
        <item x="48"/>
        <item x="384"/>
        <item x="464"/>
        <item x="276"/>
        <item x="38"/>
        <item x="478"/>
        <item x="505"/>
        <item x="158"/>
        <item x="151"/>
        <item x="103"/>
        <item x="16"/>
        <item x="499"/>
        <item x="485"/>
        <item x="514"/>
        <item x="121"/>
        <item x="540"/>
        <item x="620"/>
        <item x="457"/>
        <item x="567"/>
        <item x="184"/>
        <item x="108"/>
        <item x="166"/>
        <item x="94"/>
        <item x="562"/>
        <item x="346"/>
        <item x="613"/>
        <item x="408"/>
        <item x="575"/>
        <item x="195"/>
        <item x="599"/>
        <item x="415"/>
        <item x="383"/>
        <item x="605"/>
        <item x="398"/>
        <item x="47"/>
        <item x="206"/>
        <item x="530"/>
        <item x="135"/>
        <item x="167"/>
        <item x="306"/>
        <item x="275"/>
        <item x="226"/>
        <item x="324"/>
        <item x="106"/>
        <item x="285"/>
        <item x="462"/>
        <item x="572"/>
        <item x="412"/>
        <item x="244"/>
        <item x="81"/>
        <item x="426"/>
        <item x="120"/>
        <item x="286"/>
        <item x="401"/>
        <item x="29"/>
        <item x="547"/>
        <item x="488"/>
        <item x="340"/>
        <item x="400"/>
        <item x="240"/>
        <item x="312"/>
        <item x="91"/>
        <item x="554"/>
        <item x="214"/>
        <item x="282"/>
        <item x="526"/>
        <item x="109"/>
        <item x="162"/>
        <item x="597"/>
        <item x="519"/>
        <item x="374"/>
        <item x="467"/>
        <item x="396"/>
        <item x="372"/>
        <item x="393"/>
        <item x="509"/>
        <item x="525"/>
        <item x="144"/>
        <item x="370"/>
        <item x="235"/>
        <item x="541"/>
        <item x="379"/>
        <item x="161"/>
        <item x="45"/>
        <item x="593"/>
        <item x="443"/>
        <item x="172"/>
        <item x="587"/>
        <item x="188"/>
        <item x="429"/>
        <item x="302"/>
        <item x="325"/>
        <item x="594"/>
        <item x="18"/>
        <item x="481"/>
        <item x="179"/>
        <item x="238"/>
        <item x="258"/>
        <item x="475"/>
        <item x="101"/>
        <item x="487"/>
        <item x="588"/>
        <item x="577"/>
        <item x="61"/>
        <item x="342"/>
        <item x="527"/>
        <item x="174"/>
        <item x="411"/>
        <item x="571"/>
        <item x="207"/>
        <item x="460"/>
        <item x="528"/>
        <item x="545"/>
        <item x="254"/>
        <item x="321"/>
        <item x="489"/>
        <item x="596"/>
        <item x="352"/>
        <item x="196"/>
        <item x="561"/>
        <item x="350"/>
        <item x="603"/>
        <item x="497"/>
        <item x="262"/>
        <item x="483"/>
        <item x="22"/>
        <item x="67"/>
        <item x="220"/>
        <item x="11"/>
        <item x="326"/>
        <item x="375"/>
        <item x="406"/>
        <item x="125"/>
        <item x="12"/>
        <item x="552"/>
        <item x="233"/>
        <item x="602"/>
        <item x="43"/>
        <item x="259"/>
        <item x="185"/>
        <item x="576"/>
        <item x="84"/>
        <item x="315"/>
        <item x="338"/>
        <item x="583"/>
        <item x="506"/>
        <item x="236"/>
        <item x="517"/>
        <item x="578"/>
        <item x="54"/>
        <item x="341"/>
        <item x="473"/>
        <item x="351"/>
        <item x="52"/>
        <item x="449"/>
        <item x="23"/>
        <item x="511"/>
        <item x="66"/>
        <item x="479"/>
        <item x="200"/>
        <item x="117"/>
        <item x="90"/>
        <item x="492"/>
        <item x="386"/>
        <item x="65"/>
        <item x="627"/>
        <item x="423"/>
        <item x="301"/>
        <item x="14"/>
        <item x="122"/>
        <item x="133"/>
        <item x="147"/>
        <item x="310"/>
        <item x="299"/>
        <item x="438"/>
        <item x="71"/>
        <item x="0"/>
        <item x="269"/>
        <item x="88"/>
        <item x="373"/>
        <item x="55"/>
        <item x="619"/>
        <item x="403"/>
        <item x="320"/>
        <item x="263"/>
        <item x="281"/>
        <item x="274"/>
        <item x="34"/>
        <item x="95"/>
        <item x="241"/>
        <item x="39"/>
        <item x="534"/>
        <item x="278"/>
        <item x="19"/>
        <item x="427"/>
        <item x="413"/>
        <item x="356"/>
        <item x="564"/>
        <item x="395"/>
        <item x="21"/>
        <item x="420"/>
        <item x="573"/>
        <item x="388"/>
        <item x="93"/>
        <item x="300"/>
        <item x="339"/>
        <item x="249"/>
        <item x="574"/>
        <item x="353"/>
        <item x="548"/>
        <item x="118"/>
        <item x="585"/>
        <item x="212"/>
        <item x="42"/>
        <item x="360"/>
        <item x="28"/>
        <item x="148"/>
        <item x="565"/>
        <item x="344"/>
        <item x="273"/>
        <item x="194"/>
        <item x="555"/>
        <item x="248"/>
        <item x="544"/>
        <item x="116"/>
        <item x="146"/>
        <item x="333"/>
        <item x="69"/>
        <item x="180"/>
        <item x="355"/>
        <item x="331"/>
        <item x="563"/>
        <item x="224"/>
        <item x="139"/>
        <item x="155"/>
        <item x="32"/>
        <item x="291"/>
        <item x="369"/>
        <item x="546"/>
        <item x="366"/>
        <item x="336"/>
        <item x="465"/>
        <item x="51"/>
        <item x="177"/>
        <item x="217"/>
        <item x="442"/>
        <item x="348"/>
        <item x="78"/>
        <item x="586"/>
        <item x="624"/>
        <item x="63"/>
        <item x="558"/>
        <item x="486"/>
        <item x="7"/>
        <item x="99"/>
        <item x="130"/>
        <item x="474"/>
        <item x="197"/>
        <item x="110"/>
        <item x="501"/>
        <item x="100"/>
        <item x="424"/>
        <item x="56"/>
        <item x="441"/>
        <item x="556"/>
        <item x="392"/>
        <item x="537"/>
        <item x="138"/>
        <item x="337"/>
        <item x="343"/>
        <item x="472"/>
        <item x="141"/>
        <item x="448"/>
        <item x="504"/>
        <item x="508"/>
        <item x="31"/>
        <item x="422"/>
        <item x="431"/>
        <item x="307"/>
        <item x="191"/>
        <item x="551"/>
        <item x="391"/>
        <item x="203"/>
        <item x="498"/>
        <item x="92"/>
        <item x="542"/>
        <item x="6"/>
        <item x="512"/>
        <item x="371"/>
        <item x="143"/>
        <item x="218"/>
        <item x="470"/>
        <item x="119"/>
        <item x="270"/>
        <item x="329"/>
        <item x="205"/>
        <item x="591"/>
        <item x="208"/>
        <item x="418"/>
        <item x="64"/>
        <item x="164"/>
        <item x="606"/>
        <item x="58"/>
        <item x="539"/>
        <item x="414"/>
        <item x="193"/>
        <item x="127"/>
        <item x="589"/>
        <item x="250"/>
        <item x="399"/>
        <item x="390"/>
        <item x="417"/>
        <item x="305"/>
        <item x="201"/>
        <item x="309"/>
        <item x="257"/>
        <item x="515"/>
        <item x="520"/>
        <item x="294"/>
        <item x="237"/>
        <item x="516"/>
        <item x="264"/>
        <item x="216"/>
        <item x="387"/>
        <item x="458"/>
        <item x="466"/>
        <item x="521"/>
        <item x="439"/>
        <item x="242"/>
        <item x="186"/>
        <item x="225"/>
        <item x="416"/>
        <item x="5"/>
        <item x="513"/>
        <item x="102"/>
        <item x="149"/>
        <item x="255"/>
        <item x="132"/>
        <item x="495"/>
        <item x="456"/>
        <item x="82"/>
        <item x="280"/>
        <item x="604"/>
        <item x="490"/>
        <item x="253"/>
        <item x="626"/>
        <item x="169"/>
        <item x="8"/>
        <item x="618"/>
        <item x="303"/>
        <item x="145"/>
        <item x="219"/>
        <item x="87"/>
        <item x="581"/>
        <item x="451"/>
        <item x="137"/>
        <item x="85"/>
        <item x="140"/>
        <item x="277"/>
        <item x="2"/>
        <item x="428"/>
        <item x="425"/>
        <item x="590"/>
        <item x="549"/>
        <item x="433"/>
        <item x="134"/>
        <item x="75"/>
        <item x="239"/>
        <item x="532"/>
        <item x="323"/>
        <item x="568"/>
        <item x="354"/>
        <item x="266"/>
        <item x="192"/>
        <item x="228"/>
        <item x="107"/>
        <item x="129"/>
        <item x="444"/>
        <item x="484"/>
        <item x="623"/>
        <item x="181"/>
        <item x="57"/>
        <item x="46"/>
        <item x="318"/>
        <item x="115"/>
        <item x="111"/>
        <item x="494"/>
        <item x="59"/>
        <item x="536"/>
        <item x="33"/>
        <item x="293"/>
        <item x="243"/>
        <item x="377"/>
        <item x="267"/>
        <item x="617"/>
        <item x="491"/>
        <item x="304"/>
        <item x="123"/>
        <item x="381"/>
        <item x="74"/>
        <item x="153"/>
        <item x="114"/>
        <item x="189"/>
        <item x="298"/>
        <item x="44"/>
        <item x="476"/>
        <item x="159"/>
        <item x="30"/>
        <item x="187"/>
        <item x="62"/>
        <item x="247"/>
        <item x="41"/>
        <item x="163"/>
        <item x="25"/>
        <item x="246"/>
        <item x="529"/>
        <item x="213"/>
        <item x="296"/>
        <item x="202"/>
        <item x="365"/>
        <item x="70"/>
        <item x="450"/>
        <item x="397"/>
        <item x="440"/>
        <item x="126"/>
        <item x="182"/>
        <item x="453"/>
        <item x="24"/>
        <item x="362"/>
        <item x="314"/>
        <item x="569"/>
        <item x="349"/>
        <item x="609"/>
        <item x="482"/>
        <item x="454"/>
        <item x="553"/>
        <item x="113"/>
        <item x="502"/>
        <item x="335"/>
        <item x="83"/>
        <item x="535"/>
        <item x="334"/>
        <item x="72"/>
        <item x="131"/>
        <item x="557"/>
        <item x="385"/>
        <item x="625"/>
        <item x="543"/>
        <item x="316"/>
        <item x="156"/>
        <item x="204"/>
        <item x="271"/>
        <item x="523"/>
        <item x="231"/>
        <item x="503"/>
        <item x="210"/>
        <item x="531"/>
        <item x="404"/>
        <item x="607"/>
        <item x="288"/>
        <item x="68"/>
        <item x="183"/>
        <item x="272"/>
        <item x="171"/>
        <item x="437"/>
        <item x="35"/>
        <item x="313"/>
        <item x="104"/>
        <item x="328"/>
        <item x="471"/>
        <item x="524"/>
        <item x="268"/>
        <item x="37"/>
        <item x="419"/>
        <item x="26"/>
        <item x="160"/>
        <item x="3"/>
        <item x="165"/>
        <item x="256"/>
        <item x="600"/>
        <item x="222"/>
        <item x="128"/>
        <item x="290"/>
        <item x="421"/>
        <item x="1"/>
        <item x="629"/>
        <item x="40"/>
        <item x="347"/>
        <item x="297"/>
        <item x="124"/>
        <item x="455"/>
        <item x="105"/>
        <item x="345"/>
        <item x="447"/>
        <item x="27"/>
        <item x="376"/>
        <item x="209"/>
        <item x="435"/>
        <item x="76"/>
        <item x="614"/>
        <item x="178"/>
        <item x="173"/>
        <item x="357"/>
        <item x="4"/>
        <item x="432"/>
        <item x="50"/>
        <item x="595"/>
        <item x="170"/>
        <item x="73"/>
        <item x="500"/>
        <item x="13"/>
        <item x="150"/>
        <item x="622"/>
        <item x="628"/>
        <item x="152"/>
        <item x="15"/>
        <item x="592"/>
        <item x="436"/>
        <item x="332"/>
        <item x="367"/>
        <item x="20"/>
        <item x="199"/>
        <item x="452"/>
        <item x="477"/>
        <item x="77"/>
        <item x="98"/>
        <item x="361"/>
        <item x="234"/>
        <item x="283"/>
        <item x="522"/>
        <item x="394"/>
        <item x="229"/>
        <item x="446"/>
        <item x="190"/>
        <item x="198"/>
        <item x="612"/>
        <item x="364"/>
        <item x="493"/>
        <item t="default"/>
      </items>
    </pivotField>
    <pivotField numFmtId="164" showAll="0">
      <items count="615">
        <item x="105"/>
        <item x="229"/>
        <item x="576"/>
        <item x="298"/>
        <item x="328"/>
        <item x="271"/>
        <item x="435"/>
        <item x="55"/>
        <item x="129"/>
        <item x="270"/>
        <item x="403"/>
        <item x="454"/>
        <item x="452"/>
        <item x="602"/>
        <item x="276"/>
        <item x="397"/>
        <item x="591"/>
        <item x="198"/>
        <item x="513"/>
        <item x="573"/>
        <item x="550"/>
        <item x="241"/>
        <item x="331"/>
        <item x="410"/>
        <item x="2"/>
        <item x="350"/>
        <item x="228"/>
        <item x="519"/>
        <item x="477"/>
        <item x="445"/>
        <item x="251"/>
        <item x="582"/>
        <item x="439"/>
        <item x="260"/>
        <item x="67"/>
        <item x="507"/>
        <item x="78"/>
        <item x="450"/>
        <item x="100"/>
        <item x="606"/>
        <item x="544"/>
        <item x="393"/>
        <item x="490"/>
        <item x="263"/>
        <item x="408"/>
        <item x="384"/>
        <item x="161"/>
        <item x="252"/>
        <item x="584"/>
        <item x="119"/>
        <item x="178"/>
        <item x="15"/>
        <item x="414"/>
        <item x="112"/>
        <item x="543"/>
        <item x="44"/>
        <item x="364"/>
        <item x="47"/>
        <item x="222"/>
        <item x="580"/>
        <item x="34"/>
        <item x="134"/>
        <item x="80"/>
        <item x="174"/>
        <item x="227"/>
        <item x="438"/>
        <item x="412"/>
        <item x="474"/>
        <item x="206"/>
        <item x="128"/>
        <item x="349"/>
        <item x="592"/>
        <item x="230"/>
        <item x="127"/>
        <item x="28"/>
        <item x="43"/>
        <item x="315"/>
        <item x="133"/>
        <item x="583"/>
        <item x="343"/>
        <item x="231"/>
        <item x="310"/>
        <item x="308"/>
        <item x="167"/>
        <item x="233"/>
        <item x="46"/>
        <item x="447"/>
        <item x="58"/>
        <item x="183"/>
        <item x="200"/>
        <item x="83"/>
        <item x="57"/>
        <item x="336"/>
        <item x="157"/>
        <item x="365"/>
        <item x="273"/>
        <item x="545"/>
        <item x="69"/>
        <item x="402"/>
        <item x="433"/>
        <item x="259"/>
        <item x="444"/>
        <item x="236"/>
        <item x="38"/>
        <item x="389"/>
        <item x="520"/>
        <item x="313"/>
        <item x="189"/>
        <item x="106"/>
        <item x="194"/>
        <item x="533"/>
        <item x="320"/>
        <item x="391"/>
        <item x="354"/>
        <item x="485"/>
        <item x="522"/>
        <item x="88"/>
        <item x="135"/>
        <item x="491"/>
        <item x="372"/>
        <item x="496"/>
        <item x="601"/>
        <item x="117"/>
        <item x="303"/>
        <item x="390"/>
        <item x="512"/>
        <item x="309"/>
        <item x="523"/>
        <item x="25"/>
        <item x="572"/>
        <item x="268"/>
        <item x="311"/>
        <item x="160"/>
        <item x="327"/>
        <item x="11"/>
        <item x="293"/>
        <item x="73"/>
        <item x="205"/>
        <item x="234"/>
        <item x="460"/>
        <item x="338"/>
        <item x="440"/>
        <item x="482"/>
        <item x="177"/>
        <item x="246"/>
        <item x="109"/>
        <item x="235"/>
        <item x="595"/>
        <item x="150"/>
        <item x="294"/>
        <item x="307"/>
        <item x="462"/>
        <item x="532"/>
        <item x="549"/>
        <item x="304"/>
        <item x="207"/>
        <item x="154"/>
        <item x="610"/>
        <item x="110"/>
        <item x="226"/>
        <item x="498"/>
        <item x="353"/>
        <item x="267"/>
        <item x="546"/>
        <item x="148"/>
        <item x="89"/>
        <item x="361"/>
        <item x="357"/>
        <item x="153"/>
        <item x="515"/>
        <item x="521"/>
        <item x="242"/>
        <item x="114"/>
        <item x="413"/>
        <item x="427"/>
        <item x="564"/>
        <item x="488"/>
        <item x="392"/>
        <item x="59"/>
        <item x="330"/>
        <item x="36"/>
        <item x="280"/>
        <item x="201"/>
        <item x="590"/>
        <item x="140"/>
        <item x="424"/>
        <item x="518"/>
        <item x="608"/>
        <item x="306"/>
        <item x="379"/>
        <item x="605"/>
        <item x="376"/>
        <item x="586"/>
        <item x="163"/>
        <item x="185"/>
        <item x="416"/>
        <item x="426"/>
        <item x="516"/>
        <item x="373"/>
        <item x="165"/>
        <item x="342"/>
        <item x="122"/>
        <item x="471"/>
        <item x="579"/>
        <item x="386"/>
        <item x="467"/>
        <item x="329"/>
        <item x="299"/>
        <item x="145"/>
        <item x="274"/>
        <item x="461"/>
        <item x="612"/>
        <item x="552"/>
        <item x="289"/>
        <item x="173"/>
        <item x="238"/>
        <item x="244"/>
        <item x="517"/>
        <item x="398"/>
        <item x="275"/>
        <item x="60"/>
        <item x="90"/>
        <item x="104"/>
        <item x="465"/>
        <item x="272"/>
        <item x="95"/>
        <item x="17"/>
        <item x="196"/>
        <item x="347"/>
        <item x="166"/>
        <item x="250"/>
        <item x="562"/>
        <item x="417"/>
        <item x="16"/>
        <item x="500"/>
        <item x="27"/>
        <item x="7"/>
        <item x="563"/>
        <item x="190"/>
        <item x="324"/>
        <item x="505"/>
        <item x="406"/>
        <item x="261"/>
        <item x="558"/>
        <item x="124"/>
        <item x="317"/>
        <item x="575"/>
        <item x="146"/>
        <item x="285"/>
        <item x="359"/>
        <item x="51"/>
        <item x="322"/>
        <item x="468"/>
        <item x="604"/>
        <item x="388"/>
        <item x="204"/>
        <item x="528"/>
        <item x="560"/>
        <item x="118"/>
        <item x="540"/>
        <item x="108"/>
        <item x="103"/>
        <item x="192"/>
        <item x="567"/>
        <item x="249"/>
        <item x="420"/>
        <item x="147"/>
        <item x="70"/>
        <item x="541"/>
        <item x="578"/>
        <item x="62"/>
        <item x="13"/>
        <item x="292"/>
        <item x="240"/>
        <item x="371"/>
        <item x="169"/>
        <item x="494"/>
        <item x="258"/>
        <item x="255"/>
        <item x="143"/>
        <item x="428"/>
        <item x="581"/>
        <item x="84"/>
        <item x="607"/>
        <item x="499"/>
        <item x="217"/>
        <item x="188"/>
        <item x="111"/>
        <item x="553"/>
        <item x="430"/>
        <item x="524"/>
        <item x="164"/>
        <item x="539"/>
        <item x="21"/>
        <item x="341"/>
        <item x="367"/>
        <item x="421"/>
        <item x="32"/>
        <item x="481"/>
        <item x="37"/>
        <item x="208"/>
        <item x="503"/>
        <item x="368"/>
        <item x="22"/>
        <item x="243"/>
        <item x="321"/>
        <item x="446"/>
        <item x="589"/>
        <item x="225"/>
        <item x="195"/>
        <item x="600"/>
        <item x="64"/>
        <item x="399"/>
        <item x="41"/>
        <item x="176"/>
        <item x="323"/>
        <item x="383"/>
        <item x="68"/>
        <item x="506"/>
        <item x="211"/>
        <item x="86"/>
        <item x="181"/>
        <item x="24"/>
        <item x="613"/>
        <item x="3"/>
        <item x="501"/>
        <item x="596"/>
        <item x="394"/>
        <item x="81"/>
        <item x="504"/>
        <item x="378"/>
        <item x="257"/>
        <item x="547"/>
        <item x="131"/>
        <item x="94"/>
        <item x="362"/>
        <item x="380"/>
        <item x="423"/>
        <item x="96"/>
        <item x="574"/>
        <item x="180"/>
        <item x="42"/>
        <item x="65"/>
        <item x="209"/>
        <item x="40"/>
        <item x="141"/>
        <item x="282"/>
        <item x="283"/>
        <item x="571"/>
        <item x="286"/>
        <item x="479"/>
        <item x="210"/>
        <item x="75"/>
        <item x="278"/>
        <item x="473"/>
        <item x="508"/>
        <item x="377"/>
        <item x="0"/>
        <item x="510"/>
        <item x="337"/>
        <item x="248"/>
        <item x="284"/>
        <item x="432"/>
        <item x="569"/>
        <item x="219"/>
        <item x="511"/>
        <item x="45"/>
        <item x="542"/>
        <item x="48"/>
        <item x="360"/>
        <item x="611"/>
        <item x="316"/>
        <item x="548"/>
        <item x="509"/>
        <item x="53"/>
        <item x="455"/>
        <item x="422"/>
        <item x="587"/>
        <item x="493"/>
        <item x="492"/>
        <item x="458"/>
        <item x="448"/>
        <item x="333"/>
        <item x="457"/>
        <item x="224"/>
        <item x="49"/>
        <item x="387"/>
        <item x="61"/>
        <item x="495"/>
        <item x="453"/>
        <item x="609"/>
        <item x="470"/>
        <item x="598"/>
        <item x="464"/>
        <item x="480"/>
        <item x="97"/>
        <item x="314"/>
        <item x="4"/>
        <item x="66"/>
        <item x="175"/>
        <item x="381"/>
        <item x="599"/>
        <item x="434"/>
        <item x="199"/>
        <item x="363"/>
        <item x="300"/>
        <item x="442"/>
        <item x="437"/>
        <item x="312"/>
        <item x="339"/>
        <item x="19"/>
        <item x="121"/>
        <item x="20"/>
        <item x="395"/>
        <item x="116"/>
        <item x="187"/>
        <item x="63"/>
        <item x="597"/>
        <item x="29"/>
        <item x="265"/>
        <item x="352"/>
        <item x="126"/>
        <item x="385"/>
        <item x="593"/>
        <item x="459"/>
        <item x="319"/>
        <item x="107"/>
        <item x="443"/>
        <item x="483"/>
        <item x="239"/>
        <item x="156"/>
        <item x="484"/>
        <item x="400"/>
        <item x="99"/>
        <item x="325"/>
        <item x="554"/>
        <item x="215"/>
        <item x="525"/>
        <item x="529"/>
        <item x="346"/>
        <item x="149"/>
        <item x="1"/>
        <item x="419"/>
        <item x="404"/>
        <item x="530"/>
        <item x="401"/>
        <item x="247"/>
        <item x="287"/>
        <item x="291"/>
        <item x="102"/>
        <item x="10"/>
        <item x="182"/>
        <item x="191"/>
        <item x="237"/>
        <item x="92"/>
        <item x="279"/>
        <item x="370"/>
        <item x="302"/>
        <item x="281"/>
        <item x="26"/>
        <item x="245"/>
        <item x="74"/>
        <item x="50"/>
        <item x="405"/>
        <item x="213"/>
        <item x="451"/>
        <item x="472"/>
        <item x="179"/>
        <item x="555"/>
        <item x="486"/>
        <item x="71"/>
        <item x="31"/>
        <item x="577"/>
        <item x="411"/>
        <item x="184"/>
        <item x="556"/>
        <item x="374"/>
        <item x="296"/>
        <item x="538"/>
        <item x="9"/>
        <item x="534"/>
        <item x="469"/>
        <item x="335"/>
        <item x="366"/>
        <item x="120"/>
        <item x="502"/>
        <item x="332"/>
        <item x="557"/>
        <item x="568"/>
        <item x="489"/>
        <item x="288"/>
        <item x="253"/>
        <item x="72"/>
        <item x="8"/>
        <item x="256"/>
        <item x="466"/>
        <item x="449"/>
        <item x="144"/>
        <item x="171"/>
        <item x="497"/>
        <item x="297"/>
        <item x="79"/>
        <item x="93"/>
        <item x="172"/>
        <item x="77"/>
        <item x="295"/>
        <item x="348"/>
        <item x="487"/>
        <item x="431"/>
        <item x="76"/>
        <item x="463"/>
        <item x="476"/>
        <item x="475"/>
        <item x="139"/>
        <item x="301"/>
        <item x="535"/>
        <item x="441"/>
        <item x="531"/>
        <item x="82"/>
        <item x="54"/>
        <item x="223"/>
        <item x="39"/>
        <item x="23"/>
        <item x="52"/>
        <item x="30"/>
        <item x="162"/>
        <item x="98"/>
        <item x="355"/>
        <item x="159"/>
        <item x="526"/>
        <item x="415"/>
        <item x="514"/>
        <item x="136"/>
        <item x="456"/>
        <item x="18"/>
        <item x="220"/>
        <item x="266"/>
        <item x="142"/>
        <item x="418"/>
        <item x="382"/>
        <item x="269"/>
        <item x="197"/>
        <item x="478"/>
        <item x="351"/>
        <item x="170"/>
        <item x="425"/>
        <item x="264"/>
        <item x="123"/>
        <item x="130"/>
        <item x="559"/>
        <item x="527"/>
        <item x="262"/>
        <item x="277"/>
        <item x="137"/>
        <item x="585"/>
        <item x="570"/>
        <item x="594"/>
        <item x="318"/>
        <item x="138"/>
        <item x="151"/>
        <item x="551"/>
        <item x="214"/>
        <item x="537"/>
        <item x="87"/>
        <item x="429"/>
        <item x="6"/>
        <item x="588"/>
        <item x="155"/>
        <item x="340"/>
        <item x="344"/>
        <item x="334"/>
        <item x="186"/>
        <item x="603"/>
        <item x="566"/>
        <item x="14"/>
        <item x="91"/>
        <item x="85"/>
        <item x="369"/>
        <item x="536"/>
        <item x="152"/>
        <item x="203"/>
        <item x="305"/>
        <item x="561"/>
        <item x="375"/>
        <item x="113"/>
        <item x="158"/>
        <item x="326"/>
        <item x="212"/>
        <item x="101"/>
        <item x="35"/>
        <item x="221"/>
        <item x="290"/>
        <item x="216"/>
        <item x="5"/>
        <item x="56"/>
        <item x="202"/>
        <item x="254"/>
        <item x="168"/>
        <item x="193"/>
        <item x="407"/>
        <item x="436"/>
        <item x="565"/>
        <item x="33"/>
        <item x="125"/>
        <item x="132"/>
        <item x="218"/>
        <item x="232"/>
        <item x="358"/>
        <item x="409"/>
        <item x="115"/>
        <item x="356"/>
        <item x="12"/>
        <item x="345"/>
        <item x="396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x="2"/>
        <item sd="0" x="3"/>
      </items>
    </pivotField>
  </pivotFields>
  <rowFields count="2">
    <field x="1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ty" fld="4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1" type="button" dataOnly="0" labelOnly="1" outline="0" axis="axisRow" fieldPosition="0"/>
    </format>
    <format dxfId="21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7" type="dateBetween" evalOrder="-1" id="2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A98DE-5405-4B29-BC5D-04B52661A48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E6" firstHeaderRow="0" firstDataRow="1" firstDataCol="1"/>
  <pivotFields count="11">
    <pivotField dataField="1" showAll="0"/>
    <pivotField showAll="0"/>
    <pivotField showAll="0">
      <items count="52">
        <item x="30"/>
        <item x="23"/>
        <item x="13"/>
        <item x="31"/>
        <item x="35"/>
        <item x="5"/>
        <item x="43"/>
        <item x="42"/>
        <item x="39"/>
        <item x="27"/>
        <item x="25"/>
        <item x="26"/>
        <item x="47"/>
        <item x="32"/>
        <item x="41"/>
        <item x="49"/>
        <item x="21"/>
        <item x="14"/>
        <item x="44"/>
        <item x="3"/>
        <item x="24"/>
        <item x="19"/>
        <item x="0"/>
        <item x="22"/>
        <item x="46"/>
        <item x="15"/>
        <item x="34"/>
        <item x="17"/>
        <item x="9"/>
        <item x="48"/>
        <item x="1"/>
        <item x="36"/>
        <item x="8"/>
        <item x="33"/>
        <item x="2"/>
        <item x="37"/>
        <item x="29"/>
        <item x="12"/>
        <item x="20"/>
        <item x="38"/>
        <item x="6"/>
        <item x="7"/>
        <item x="11"/>
        <item x="16"/>
        <item x="4"/>
        <item x="10"/>
        <item x="40"/>
        <item x="18"/>
        <item x="45"/>
        <item x="28"/>
        <item x="50"/>
        <item t="default"/>
      </items>
    </pivotField>
    <pivotField showAll="0"/>
    <pivotField showAll="0"/>
    <pivotField dataField="1" showAll="0"/>
    <pivotField showAll="0">
      <items count="633">
        <item x="570"/>
        <item x="584"/>
        <item x="550"/>
        <item x="496"/>
        <item x="389"/>
        <item x="461"/>
        <item x="518"/>
        <item x="608"/>
        <item x="279"/>
        <item x="580"/>
        <item x="409"/>
        <item x="80"/>
        <item x="230"/>
        <item x="630"/>
        <item x="215"/>
        <item x="507"/>
        <item x="221"/>
        <item x="9"/>
        <item x="227"/>
        <item x="289"/>
        <item x="378"/>
        <item x="245"/>
        <item x="89"/>
        <item x="97"/>
        <item x="284"/>
        <item x="36"/>
        <item x="410"/>
        <item x="176"/>
        <item x="252"/>
        <item x="142"/>
        <item x="610"/>
        <item x="616"/>
        <item x="112"/>
        <item x="232"/>
        <item x="327"/>
        <item x="538"/>
        <item x="469"/>
        <item x="154"/>
        <item x="611"/>
        <item x="265"/>
        <item x="368"/>
        <item x="510"/>
        <item x="582"/>
        <item x="402"/>
        <item x="358"/>
        <item x="157"/>
        <item x="322"/>
        <item x="17"/>
        <item x="60"/>
        <item x="260"/>
        <item x="211"/>
        <item x="407"/>
        <item x="295"/>
        <item x="380"/>
        <item x="468"/>
        <item x="86"/>
        <item x="566"/>
        <item x="359"/>
        <item x="405"/>
        <item x="430"/>
        <item x="49"/>
        <item x="223"/>
        <item x="363"/>
        <item x="480"/>
        <item x="615"/>
        <item x="559"/>
        <item x="434"/>
        <item x="459"/>
        <item x="579"/>
        <item x="463"/>
        <item x="175"/>
        <item x="251"/>
        <item x="598"/>
        <item x="53"/>
        <item x="292"/>
        <item x="136"/>
        <item x="621"/>
        <item x="168"/>
        <item x="10"/>
        <item x="317"/>
        <item x="560"/>
        <item x="311"/>
        <item x="287"/>
        <item x="319"/>
        <item x="601"/>
        <item x="533"/>
        <item x="261"/>
        <item x="330"/>
        <item x="79"/>
        <item x="96"/>
        <item x="308"/>
        <item x="445"/>
        <item x="382"/>
        <item x="48"/>
        <item x="384"/>
        <item x="464"/>
        <item x="276"/>
        <item x="38"/>
        <item x="478"/>
        <item x="505"/>
        <item x="158"/>
        <item x="151"/>
        <item x="103"/>
        <item x="16"/>
        <item x="499"/>
        <item x="485"/>
        <item x="514"/>
        <item x="121"/>
        <item x="540"/>
        <item x="620"/>
        <item x="457"/>
        <item x="567"/>
        <item x="184"/>
        <item x="108"/>
        <item x="166"/>
        <item x="94"/>
        <item x="562"/>
        <item x="346"/>
        <item x="613"/>
        <item x="408"/>
        <item x="575"/>
        <item x="195"/>
        <item x="599"/>
        <item x="415"/>
        <item x="383"/>
        <item x="605"/>
        <item x="398"/>
        <item x="47"/>
        <item x="206"/>
        <item x="530"/>
        <item x="135"/>
        <item x="167"/>
        <item x="306"/>
        <item x="275"/>
        <item x="226"/>
        <item x="324"/>
        <item x="106"/>
        <item x="285"/>
        <item x="462"/>
        <item x="572"/>
        <item x="412"/>
        <item x="244"/>
        <item x="81"/>
        <item x="426"/>
        <item x="120"/>
        <item x="286"/>
        <item x="401"/>
        <item x="29"/>
        <item x="547"/>
        <item x="488"/>
        <item x="340"/>
        <item x="400"/>
        <item x="240"/>
        <item x="312"/>
        <item x="91"/>
        <item x="554"/>
        <item x="214"/>
        <item x="282"/>
        <item x="526"/>
        <item x="109"/>
        <item x="162"/>
        <item x="597"/>
        <item x="519"/>
        <item x="374"/>
        <item x="467"/>
        <item x="396"/>
        <item x="372"/>
        <item x="393"/>
        <item x="509"/>
        <item x="525"/>
        <item x="144"/>
        <item x="370"/>
        <item x="235"/>
        <item x="541"/>
        <item x="379"/>
        <item x="161"/>
        <item x="45"/>
        <item x="593"/>
        <item x="443"/>
        <item x="172"/>
        <item x="587"/>
        <item x="188"/>
        <item x="429"/>
        <item x="302"/>
        <item x="325"/>
        <item x="594"/>
        <item x="18"/>
        <item x="481"/>
        <item x="179"/>
        <item x="238"/>
        <item x="258"/>
        <item x="475"/>
        <item x="101"/>
        <item x="487"/>
        <item x="588"/>
        <item x="577"/>
        <item x="61"/>
        <item x="342"/>
        <item x="527"/>
        <item x="174"/>
        <item x="411"/>
        <item x="571"/>
        <item x="207"/>
        <item x="460"/>
        <item x="528"/>
        <item x="545"/>
        <item x="254"/>
        <item x="321"/>
        <item x="489"/>
        <item x="596"/>
        <item x="352"/>
        <item x="196"/>
        <item x="561"/>
        <item x="350"/>
        <item x="603"/>
        <item x="497"/>
        <item x="262"/>
        <item x="483"/>
        <item x="22"/>
        <item x="67"/>
        <item x="220"/>
        <item x="11"/>
        <item x="326"/>
        <item x="375"/>
        <item x="406"/>
        <item x="125"/>
        <item x="12"/>
        <item x="552"/>
        <item x="233"/>
        <item x="602"/>
        <item x="43"/>
        <item x="259"/>
        <item x="185"/>
        <item x="576"/>
        <item x="84"/>
        <item x="315"/>
        <item x="338"/>
        <item x="583"/>
        <item x="506"/>
        <item x="236"/>
        <item x="517"/>
        <item x="578"/>
        <item x="54"/>
        <item x="341"/>
        <item x="473"/>
        <item x="351"/>
        <item x="52"/>
        <item x="449"/>
        <item x="23"/>
        <item x="511"/>
        <item x="66"/>
        <item x="479"/>
        <item x="200"/>
        <item x="117"/>
        <item x="90"/>
        <item x="492"/>
        <item x="386"/>
        <item x="65"/>
        <item x="627"/>
        <item x="423"/>
        <item x="301"/>
        <item x="14"/>
        <item x="122"/>
        <item x="133"/>
        <item x="147"/>
        <item x="310"/>
        <item x="299"/>
        <item x="438"/>
        <item x="71"/>
        <item x="0"/>
        <item x="269"/>
        <item x="88"/>
        <item x="373"/>
        <item x="55"/>
        <item x="619"/>
        <item x="403"/>
        <item x="320"/>
        <item x="263"/>
        <item x="281"/>
        <item x="274"/>
        <item x="34"/>
        <item x="95"/>
        <item x="241"/>
        <item x="39"/>
        <item x="534"/>
        <item x="278"/>
        <item x="19"/>
        <item x="427"/>
        <item x="413"/>
        <item x="356"/>
        <item x="564"/>
        <item x="395"/>
        <item x="21"/>
        <item x="420"/>
        <item x="573"/>
        <item x="388"/>
        <item x="93"/>
        <item x="300"/>
        <item x="339"/>
        <item x="249"/>
        <item x="574"/>
        <item x="353"/>
        <item x="548"/>
        <item x="118"/>
        <item x="585"/>
        <item x="212"/>
        <item x="42"/>
        <item x="360"/>
        <item x="28"/>
        <item x="148"/>
        <item x="565"/>
        <item x="344"/>
        <item x="273"/>
        <item x="194"/>
        <item x="555"/>
        <item x="248"/>
        <item x="544"/>
        <item x="116"/>
        <item x="146"/>
        <item x="333"/>
        <item x="69"/>
        <item x="180"/>
        <item x="355"/>
        <item x="331"/>
        <item x="563"/>
        <item x="224"/>
        <item x="139"/>
        <item x="155"/>
        <item x="32"/>
        <item x="291"/>
        <item x="369"/>
        <item x="546"/>
        <item x="366"/>
        <item x="336"/>
        <item x="465"/>
        <item x="51"/>
        <item x="177"/>
        <item x="217"/>
        <item x="442"/>
        <item x="348"/>
        <item x="78"/>
        <item x="586"/>
        <item x="624"/>
        <item x="63"/>
        <item x="558"/>
        <item x="486"/>
        <item x="7"/>
        <item x="99"/>
        <item x="130"/>
        <item x="474"/>
        <item x="197"/>
        <item x="110"/>
        <item x="501"/>
        <item x="100"/>
        <item x="424"/>
        <item x="56"/>
        <item x="441"/>
        <item x="556"/>
        <item x="392"/>
        <item x="537"/>
        <item x="138"/>
        <item x="337"/>
        <item x="343"/>
        <item x="472"/>
        <item x="141"/>
        <item x="448"/>
        <item x="504"/>
        <item x="508"/>
        <item x="31"/>
        <item x="422"/>
        <item x="431"/>
        <item x="307"/>
        <item x="191"/>
        <item x="551"/>
        <item x="391"/>
        <item x="203"/>
        <item x="498"/>
        <item x="92"/>
        <item x="542"/>
        <item x="6"/>
        <item x="512"/>
        <item x="371"/>
        <item x="143"/>
        <item x="218"/>
        <item x="470"/>
        <item x="119"/>
        <item x="270"/>
        <item x="329"/>
        <item x="205"/>
        <item x="591"/>
        <item x="208"/>
        <item x="418"/>
        <item x="64"/>
        <item x="164"/>
        <item x="606"/>
        <item x="58"/>
        <item x="539"/>
        <item x="414"/>
        <item x="193"/>
        <item x="127"/>
        <item x="589"/>
        <item x="250"/>
        <item x="399"/>
        <item x="390"/>
        <item x="417"/>
        <item x="305"/>
        <item x="201"/>
        <item x="309"/>
        <item x="257"/>
        <item x="515"/>
        <item x="520"/>
        <item x="294"/>
        <item x="237"/>
        <item x="516"/>
        <item x="264"/>
        <item x="216"/>
        <item x="387"/>
        <item x="458"/>
        <item x="466"/>
        <item x="521"/>
        <item x="439"/>
        <item x="242"/>
        <item x="186"/>
        <item x="225"/>
        <item x="416"/>
        <item x="5"/>
        <item x="513"/>
        <item x="102"/>
        <item x="149"/>
        <item x="255"/>
        <item x="132"/>
        <item x="495"/>
        <item x="456"/>
        <item x="82"/>
        <item x="280"/>
        <item x="604"/>
        <item x="490"/>
        <item x="253"/>
        <item x="626"/>
        <item x="169"/>
        <item x="8"/>
        <item x="618"/>
        <item x="303"/>
        <item x="145"/>
        <item x="219"/>
        <item x="87"/>
        <item x="581"/>
        <item x="451"/>
        <item x="137"/>
        <item x="85"/>
        <item x="140"/>
        <item x="277"/>
        <item x="2"/>
        <item x="428"/>
        <item x="425"/>
        <item x="590"/>
        <item x="549"/>
        <item x="433"/>
        <item x="134"/>
        <item x="75"/>
        <item x="239"/>
        <item x="532"/>
        <item x="323"/>
        <item x="568"/>
        <item x="354"/>
        <item x="266"/>
        <item x="192"/>
        <item x="228"/>
        <item x="107"/>
        <item x="129"/>
        <item x="444"/>
        <item x="484"/>
        <item x="623"/>
        <item x="181"/>
        <item x="57"/>
        <item x="46"/>
        <item x="318"/>
        <item x="115"/>
        <item x="111"/>
        <item x="494"/>
        <item x="59"/>
        <item x="536"/>
        <item x="33"/>
        <item x="293"/>
        <item x="243"/>
        <item x="377"/>
        <item x="267"/>
        <item x="617"/>
        <item x="491"/>
        <item x="304"/>
        <item x="123"/>
        <item x="381"/>
        <item x="74"/>
        <item x="153"/>
        <item x="114"/>
        <item x="189"/>
        <item x="298"/>
        <item x="44"/>
        <item x="476"/>
        <item x="159"/>
        <item x="30"/>
        <item x="187"/>
        <item x="62"/>
        <item x="247"/>
        <item x="41"/>
        <item x="163"/>
        <item x="25"/>
        <item x="246"/>
        <item x="529"/>
        <item x="213"/>
        <item x="296"/>
        <item x="202"/>
        <item x="365"/>
        <item x="70"/>
        <item x="450"/>
        <item x="397"/>
        <item x="440"/>
        <item x="126"/>
        <item x="182"/>
        <item x="453"/>
        <item x="24"/>
        <item x="362"/>
        <item x="314"/>
        <item x="569"/>
        <item x="349"/>
        <item x="609"/>
        <item x="482"/>
        <item x="454"/>
        <item x="553"/>
        <item x="113"/>
        <item x="502"/>
        <item x="335"/>
        <item x="83"/>
        <item x="535"/>
        <item x="334"/>
        <item x="72"/>
        <item x="131"/>
        <item x="557"/>
        <item x="385"/>
        <item x="625"/>
        <item x="543"/>
        <item x="316"/>
        <item x="156"/>
        <item x="204"/>
        <item x="271"/>
        <item x="523"/>
        <item x="231"/>
        <item x="503"/>
        <item x="210"/>
        <item x="531"/>
        <item x="404"/>
        <item x="607"/>
        <item x="288"/>
        <item x="68"/>
        <item x="183"/>
        <item x="272"/>
        <item x="171"/>
        <item x="437"/>
        <item x="35"/>
        <item x="313"/>
        <item x="104"/>
        <item x="328"/>
        <item x="471"/>
        <item x="524"/>
        <item x="268"/>
        <item x="37"/>
        <item x="419"/>
        <item x="26"/>
        <item x="160"/>
        <item x="3"/>
        <item x="165"/>
        <item x="256"/>
        <item x="600"/>
        <item x="222"/>
        <item x="128"/>
        <item x="290"/>
        <item x="421"/>
        <item x="1"/>
        <item x="629"/>
        <item x="40"/>
        <item x="347"/>
        <item x="297"/>
        <item x="124"/>
        <item x="455"/>
        <item x="105"/>
        <item x="345"/>
        <item x="447"/>
        <item x="27"/>
        <item x="376"/>
        <item x="209"/>
        <item x="435"/>
        <item x="76"/>
        <item x="614"/>
        <item x="178"/>
        <item x="173"/>
        <item x="357"/>
        <item x="4"/>
        <item x="432"/>
        <item x="50"/>
        <item x="595"/>
        <item x="170"/>
        <item x="73"/>
        <item x="500"/>
        <item x="13"/>
        <item x="150"/>
        <item x="622"/>
        <item x="628"/>
        <item x="152"/>
        <item x="15"/>
        <item x="592"/>
        <item x="436"/>
        <item x="332"/>
        <item x="367"/>
        <item x="20"/>
        <item x="199"/>
        <item x="452"/>
        <item x="477"/>
        <item x="77"/>
        <item x="98"/>
        <item x="361"/>
        <item x="234"/>
        <item x="283"/>
        <item x="522"/>
        <item x="394"/>
        <item x="229"/>
        <item x="446"/>
        <item x="190"/>
        <item x="198"/>
        <item x="612"/>
        <item x="364"/>
        <item x="493"/>
        <item x="631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3"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voiceTotal" fld="5" baseField="0" baseItem="0" numFmtId="44"/>
    <dataField name="Count of InvNum" fld="0" subtotal="count" baseField="8" baseItem="1"/>
  </dataFields>
  <formats count="7"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8" type="button" dataOnly="0" labelOnly="1" outline="0" axis="axisRow" fieldPosition="0"/>
    </format>
    <format dxfId="27">
      <pivotArea dataOnly="0" labelOnly="1" fieldPosition="0">
        <references count="1">
          <reference field="8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6" type="dateBetween" evalOrder="-1" id="1">
      <autoFilter ref="A1">
        <filterColumn colId="0">
          <customFilters and="1">
            <customFilter operator="greaterThanOrEqual" val="45231"/>
            <customFilter operator="lessThanOrEqual" val="4529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EE319-ADE7-44C9-9587-8178E9C0456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F30" firstHeaderRow="1" firstDataRow="1" firstDataCol="1"/>
  <pivotFields count="14">
    <pivotField showAll="0"/>
    <pivotField axis="axisRow" showAll="0" sortType="descending">
      <items count="21">
        <item x="14"/>
        <item x="0"/>
        <item x="6"/>
        <item x="19"/>
        <item x="18"/>
        <item x="3"/>
        <item x="4"/>
        <item x="17"/>
        <item x="5"/>
        <item x="15"/>
        <item x="10"/>
        <item x="16"/>
        <item x="8"/>
        <item x="1"/>
        <item x="9"/>
        <item x="12"/>
        <item x="2"/>
        <item x="7"/>
        <item x="1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64" showAll="0">
      <items count="632">
        <item x="570"/>
        <item x="584"/>
        <item x="550"/>
        <item x="496"/>
        <item x="389"/>
        <item x="461"/>
        <item x="518"/>
        <item x="608"/>
        <item x="279"/>
        <item x="580"/>
        <item x="409"/>
        <item x="80"/>
        <item x="230"/>
        <item x="630"/>
        <item x="215"/>
        <item x="507"/>
        <item x="221"/>
        <item x="9"/>
        <item x="227"/>
        <item x="289"/>
        <item x="378"/>
        <item x="245"/>
        <item x="89"/>
        <item x="97"/>
        <item x="284"/>
        <item x="36"/>
        <item x="410"/>
        <item x="176"/>
        <item x="252"/>
        <item x="142"/>
        <item x="610"/>
        <item x="616"/>
        <item x="112"/>
        <item x="232"/>
        <item x="327"/>
        <item x="538"/>
        <item x="469"/>
        <item x="154"/>
        <item x="611"/>
        <item x="265"/>
        <item x="368"/>
        <item x="510"/>
        <item x="582"/>
        <item x="402"/>
        <item x="358"/>
        <item x="157"/>
        <item x="322"/>
        <item x="17"/>
        <item x="60"/>
        <item x="260"/>
        <item x="211"/>
        <item x="407"/>
        <item x="295"/>
        <item x="380"/>
        <item x="468"/>
        <item x="86"/>
        <item x="566"/>
        <item x="359"/>
        <item x="405"/>
        <item x="430"/>
        <item x="49"/>
        <item x="223"/>
        <item x="363"/>
        <item x="480"/>
        <item x="615"/>
        <item x="559"/>
        <item x="434"/>
        <item x="459"/>
        <item x="579"/>
        <item x="463"/>
        <item x="175"/>
        <item x="251"/>
        <item x="598"/>
        <item x="53"/>
        <item x="292"/>
        <item x="136"/>
        <item x="621"/>
        <item x="168"/>
        <item x="10"/>
        <item x="317"/>
        <item x="560"/>
        <item x="311"/>
        <item x="287"/>
        <item x="319"/>
        <item x="601"/>
        <item x="533"/>
        <item x="261"/>
        <item x="330"/>
        <item x="79"/>
        <item x="96"/>
        <item x="308"/>
        <item x="445"/>
        <item x="382"/>
        <item x="48"/>
        <item x="384"/>
        <item x="464"/>
        <item x="276"/>
        <item x="38"/>
        <item x="478"/>
        <item x="505"/>
        <item x="158"/>
        <item x="151"/>
        <item x="103"/>
        <item x="16"/>
        <item x="499"/>
        <item x="485"/>
        <item x="514"/>
        <item x="121"/>
        <item x="540"/>
        <item x="620"/>
        <item x="457"/>
        <item x="567"/>
        <item x="184"/>
        <item x="108"/>
        <item x="166"/>
        <item x="94"/>
        <item x="562"/>
        <item x="346"/>
        <item x="613"/>
        <item x="408"/>
        <item x="575"/>
        <item x="195"/>
        <item x="599"/>
        <item x="415"/>
        <item x="383"/>
        <item x="605"/>
        <item x="398"/>
        <item x="47"/>
        <item x="206"/>
        <item x="530"/>
        <item x="135"/>
        <item x="167"/>
        <item x="306"/>
        <item x="275"/>
        <item x="226"/>
        <item x="324"/>
        <item x="106"/>
        <item x="285"/>
        <item x="462"/>
        <item x="572"/>
        <item x="412"/>
        <item x="244"/>
        <item x="81"/>
        <item x="426"/>
        <item x="120"/>
        <item x="286"/>
        <item x="401"/>
        <item x="29"/>
        <item x="547"/>
        <item x="488"/>
        <item x="340"/>
        <item x="400"/>
        <item x="240"/>
        <item x="312"/>
        <item x="91"/>
        <item x="554"/>
        <item x="214"/>
        <item x="282"/>
        <item x="526"/>
        <item x="109"/>
        <item x="162"/>
        <item x="597"/>
        <item x="519"/>
        <item x="374"/>
        <item x="467"/>
        <item x="396"/>
        <item x="372"/>
        <item x="393"/>
        <item x="509"/>
        <item x="525"/>
        <item x="144"/>
        <item x="370"/>
        <item x="235"/>
        <item x="541"/>
        <item x="379"/>
        <item x="161"/>
        <item x="45"/>
        <item x="593"/>
        <item x="443"/>
        <item x="172"/>
        <item x="587"/>
        <item x="188"/>
        <item x="429"/>
        <item x="302"/>
        <item x="325"/>
        <item x="594"/>
        <item x="18"/>
        <item x="481"/>
        <item x="179"/>
        <item x="238"/>
        <item x="258"/>
        <item x="475"/>
        <item x="101"/>
        <item x="487"/>
        <item x="588"/>
        <item x="577"/>
        <item x="61"/>
        <item x="342"/>
        <item x="527"/>
        <item x="174"/>
        <item x="411"/>
        <item x="571"/>
        <item x="207"/>
        <item x="460"/>
        <item x="528"/>
        <item x="545"/>
        <item x="254"/>
        <item x="321"/>
        <item x="489"/>
        <item x="596"/>
        <item x="352"/>
        <item x="196"/>
        <item x="561"/>
        <item x="350"/>
        <item x="603"/>
        <item x="497"/>
        <item x="262"/>
        <item x="483"/>
        <item x="22"/>
        <item x="67"/>
        <item x="220"/>
        <item x="11"/>
        <item x="326"/>
        <item x="375"/>
        <item x="406"/>
        <item x="125"/>
        <item x="12"/>
        <item x="552"/>
        <item x="233"/>
        <item x="602"/>
        <item x="43"/>
        <item x="259"/>
        <item x="185"/>
        <item x="576"/>
        <item x="84"/>
        <item x="315"/>
        <item x="338"/>
        <item x="583"/>
        <item x="506"/>
        <item x="236"/>
        <item x="517"/>
        <item x="578"/>
        <item x="54"/>
        <item x="341"/>
        <item x="473"/>
        <item x="351"/>
        <item x="52"/>
        <item x="449"/>
        <item x="23"/>
        <item x="511"/>
        <item x="66"/>
        <item x="479"/>
        <item x="200"/>
        <item x="117"/>
        <item x="90"/>
        <item x="492"/>
        <item x="386"/>
        <item x="65"/>
        <item x="627"/>
        <item x="423"/>
        <item x="301"/>
        <item x="14"/>
        <item x="122"/>
        <item x="133"/>
        <item x="147"/>
        <item x="310"/>
        <item x="299"/>
        <item x="438"/>
        <item x="71"/>
        <item x="0"/>
        <item x="269"/>
        <item x="88"/>
        <item x="373"/>
        <item x="55"/>
        <item x="619"/>
        <item x="403"/>
        <item x="320"/>
        <item x="263"/>
        <item x="281"/>
        <item x="274"/>
        <item x="34"/>
        <item x="95"/>
        <item x="241"/>
        <item x="39"/>
        <item x="534"/>
        <item x="278"/>
        <item x="19"/>
        <item x="427"/>
        <item x="413"/>
        <item x="356"/>
        <item x="564"/>
        <item x="395"/>
        <item x="21"/>
        <item x="420"/>
        <item x="573"/>
        <item x="388"/>
        <item x="93"/>
        <item x="300"/>
        <item x="339"/>
        <item x="249"/>
        <item x="574"/>
        <item x="353"/>
        <item x="548"/>
        <item x="118"/>
        <item x="585"/>
        <item x="212"/>
        <item x="42"/>
        <item x="360"/>
        <item x="28"/>
        <item x="148"/>
        <item x="565"/>
        <item x="344"/>
        <item x="273"/>
        <item x="194"/>
        <item x="555"/>
        <item x="248"/>
        <item x="544"/>
        <item x="116"/>
        <item x="146"/>
        <item x="333"/>
        <item x="69"/>
        <item x="180"/>
        <item x="355"/>
        <item x="331"/>
        <item x="563"/>
        <item x="224"/>
        <item x="139"/>
        <item x="155"/>
        <item x="32"/>
        <item x="291"/>
        <item x="369"/>
        <item x="546"/>
        <item x="366"/>
        <item x="336"/>
        <item x="465"/>
        <item x="51"/>
        <item x="177"/>
        <item x="217"/>
        <item x="442"/>
        <item x="348"/>
        <item x="78"/>
        <item x="586"/>
        <item x="624"/>
        <item x="63"/>
        <item x="558"/>
        <item x="486"/>
        <item x="7"/>
        <item x="99"/>
        <item x="130"/>
        <item x="474"/>
        <item x="197"/>
        <item x="110"/>
        <item x="501"/>
        <item x="100"/>
        <item x="424"/>
        <item x="56"/>
        <item x="441"/>
        <item x="556"/>
        <item x="392"/>
        <item x="537"/>
        <item x="138"/>
        <item x="337"/>
        <item x="343"/>
        <item x="472"/>
        <item x="141"/>
        <item x="448"/>
        <item x="504"/>
        <item x="508"/>
        <item x="31"/>
        <item x="422"/>
        <item x="431"/>
        <item x="307"/>
        <item x="191"/>
        <item x="551"/>
        <item x="391"/>
        <item x="203"/>
        <item x="498"/>
        <item x="92"/>
        <item x="542"/>
        <item x="6"/>
        <item x="512"/>
        <item x="371"/>
        <item x="143"/>
        <item x="218"/>
        <item x="470"/>
        <item x="119"/>
        <item x="270"/>
        <item x="329"/>
        <item x="205"/>
        <item x="591"/>
        <item x="208"/>
        <item x="418"/>
        <item x="64"/>
        <item x="164"/>
        <item x="606"/>
        <item x="58"/>
        <item x="539"/>
        <item x="414"/>
        <item x="193"/>
        <item x="127"/>
        <item x="589"/>
        <item x="250"/>
        <item x="399"/>
        <item x="390"/>
        <item x="417"/>
        <item x="305"/>
        <item x="201"/>
        <item x="309"/>
        <item x="257"/>
        <item x="515"/>
        <item x="520"/>
        <item x="294"/>
        <item x="237"/>
        <item x="516"/>
        <item x="264"/>
        <item x="216"/>
        <item x="387"/>
        <item x="458"/>
        <item x="466"/>
        <item x="521"/>
        <item x="439"/>
        <item x="242"/>
        <item x="186"/>
        <item x="225"/>
        <item x="416"/>
        <item x="5"/>
        <item x="513"/>
        <item x="102"/>
        <item x="149"/>
        <item x="255"/>
        <item x="132"/>
        <item x="495"/>
        <item x="456"/>
        <item x="82"/>
        <item x="280"/>
        <item x="604"/>
        <item x="490"/>
        <item x="253"/>
        <item x="626"/>
        <item x="169"/>
        <item x="8"/>
        <item x="618"/>
        <item x="303"/>
        <item x="145"/>
        <item x="219"/>
        <item x="87"/>
        <item x="581"/>
        <item x="451"/>
        <item x="137"/>
        <item x="85"/>
        <item x="140"/>
        <item x="277"/>
        <item x="2"/>
        <item x="428"/>
        <item x="425"/>
        <item x="590"/>
        <item x="549"/>
        <item x="433"/>
        <item x="134"/>
        <item x="75"/>
        <item x="239"/>
        <item x="532"/>
        <item x="323"/>
        <item x="568"/>
        <item x="354"/>
        <item x="266"/>
        <item x="192"/>
        <item x="228"/>
        <item x="107"/>
        <item x="129"/>
        <item x="444"/>
        <item x="484"/>
        <item x="623"/>
        <item x="181"/>
        <item x="57"/>
        <item x="46"/>
        <item x="318"/>
        <item x="115"/>
        <item x="111"/>
        <item x="494"/>
        <item x="59"/>
        <item x="536"/>
        <item x="33"/>
        <item x="293"/>
        <item x="243"/>
        <item x="377"/>
        <item x="267"/>
        <item x="617"/>
        <item x="491"/>
        <item x="304"/>
        <item x="123"/>
        <item x="381"/>
        <item x="74"/>
        <item x="153"/>
        <item x="114"/>
        <item x="189"/>
        <item x="298"/>
        <item x="44"/>
        <item x="476"/>
        <item x="159"/>
        <item x="30"/>
        <item x="187"/>
        <item x="62"/>
        <item x="247"/>
        <item x="41"/>
        <item x="163"/>
        <item x="25"/>
        <item x="246"/>
        <item x="529"/>
        <item x="213"/>
        <item x="296"/>
        <item x="202"/>
        <item x="365"/>
        <item x="70"/>
        <item x="450"/>
        <item x="397"/>
        <item x="440"/>
        <item x="126"/>
        <item x="182"/>
        <item x="453"/>
        <item x="24"/>
        <item x="362"/>
        <item x="314"/>
        <item x="569"/>
        <item x="349"/>
        <item x="609"/>
        <item x="482"/>
        <item x="454"/>
        <item x="553"/>
        <item x="113"/>
        <item x="502"/>
        <item x="335"/>
        <item x="83"/>
        <item x="535"/>
        <item x="334"/>
        <item x="72"/>
        <item x="131"/>
        <item x="557"/>
        <item x="385"/>
        <item x="625"/>
        <item x="543"/>
        <item x="316"/>
        <item x="156"/>
        <item x="204"/>
        <item x="271"/>
        <item x="523"/>
        <item x="231"/>
        <item x="503"/>
        <item x="210"/>
        <item x="531"/>
        <item x="404"/>
        <item x="607"/>
        <item x="288"/>
        <item x="68"/>
        <item x="183"/>
        <item x="272"/>
        <item x="171"/>
        <item x="437"/>
        <item x="35"/>
        <item x="313"/>
        <item x="104"/>
        <item x="328"/>
        <item x="471"/>
        <item x="524"/>
        <item x="268"/>
        <item x="37"/>
        <item x="419"/>
        <item x="26"/>
        <item x="160"/>
        <item x="3"/>
        <item x="165"/>
        <item x="256"/>
        <item x="600"/>
        <item x="222"/>
        <item x="128"/>
        <item x="290"/>
        <item x="421"/>
        <item x="1"/>
        <item x="629"/>
        <item x="40"/>
        <item x="347"/>
        <item x="297"/>
        <item x="124"/>
        <item x="455"/>
        <item x="105"/>
        <item x="345"/>
        <item x="447"/>
        <item x="27"/>
        <item x="376"/>
        <item x="209"/>
        <item x="435"/>
        <item x="76"/>
        <item x="614"/>
        <item x="178"/>
        <item x="173"/>
        <item x="357"/>
        <item x="4"/>
        <item x="432"/>
        <item x="50"/>
        <item x="595"/>
        <item x="170"/>
        <item x="73"/>
        <item x="500"/>
        <item x="13"/>
        <item x="150"/>
        <item x="622"/>
        <item x="628"/>
        <item x="152"/>
        <item x="15"/>
        <item x="592"/>
        <item x="436"/>
        <item x="332"/>
        <item x="367"/>
        <item x="20"/>
        <item x="199"/>
        <item x="452"/>
        <item x="477"/>
        <item x="77"/>
        <item x="98"/>
        <item x="361"/>
        <item x="234"/>
        <item x="283"/>
        <item x="522"/>
        <item x="394"/>
        <item x="229"/>
        <item x="446"/>
        <item x="190"/>
        <item x="198"/>
        <item x="612"/>
        <item x="364"/>
        <item x="493"/>
        <item t="default"/>
      </items>
    </pivotField>
    <pivotField numFmtId="164" showAll="0">
      <items count="615">
        <item x="105"/>
        <item x="229"/>
        <item x="576"/>
        <item x="298"/>
        <item x="328"/>
        <item x="271"/>
        <item x="435"/>
        <item x="55"/>
        <item x="129"/>
        <item x="270"/>
        <item x="403"/>
        <item x="454"/>
        <item x="452"/>
        <item x="602"/>
        <item x="276"/>
        <item x="397"/>
        <item x="591"/>
        <item x="198"/>
        <item x="513"/>
        <item x="573"/>
        <item x="550"/>
        <item x="241"/>
        <item x="331"/>
        <item x="410"/>
        <item x="2"/>
        <item x="350"/>
        <item x="228"/>
        <item x="519"/>
        <item x="477"/>
        <item x="445"/>
        <item x="251"/>
        <item x="582"/>
        <item x="439"/>
        <item x="260"/>
        <item x="67"/>
        <item x="507"/>
        <item x="78"/>
        <item x="450"/>
        <item x="100"/>
        <item x="606"/>
        <item x="544"/>
        <item x="393"/>
        <item x="490"/>
        <item x="263"/>
        <item x="408"/>
        <item x="384"/>
        <item x="161"/>
        <item x="252"/>
        <item x="584"/>
        <item x="119"/>
        <item x="178"/>
        <item x="15"/>
        <item x="414"/>
        <item x="112"/>
        <item x="543"/>
        <item x="44"/>
        <item x="364"/>
        <item x="47"/>
        <item x="222"/>
        <item x="580"/>
        <item x="34"/>
        <item x="134"/>
        <item x="80"/>
        <item x="174"/>
        <item x="227"/>
        <item x="438"/>
        <item x="412"/>
        <item x="474"/>
        <item x="206"/>
        <item x="128"/>
        <item x="349"/>
        <item x="592"/>
        <item x="230"/>
        <item x="127"/>
        <item x="28"/>
        <item x="43"/>
        <item x="315"/>
        <item x="133"/>
        <item x="583"/>
        <item x="343"/>
        <item x="231"/>
        <item x="310"/>
        <item x="308"/>
        <item x="167"/>
        <item x="233"/>
        <item x="46"/>
        <item x="447"/>
        <item x="58"/>
        <item x="183"/>
        <item x="200"/>
        <item x="83"/>
        <item x="57"/>
        <item x="336"/>
        <item x="157"/>
        <item x="365"/>
        <item x="273"/>
        <item x="545"/>
        <item x="69"/>
        <item x="402"/>
        <item x="433"/>
        <item x="259"/>
        <item x="444"/>
        <item x="236"/>
        <item x="38"/>
        <item x="389"/>
        <item x="520"/>
        <item x="313"/>
        <item x="189"/>
        <item x="106"/>
        <item x="194"/>
        <item x="533"/>
        <item x="320"/>
        <item x="391"/>
        <item x="354"/>
        <item x="485"/>
        <item x="522"/>
        <item x="88"/>
        <item x="135"/>
        <item x="491"/>
        <item x="372"/>
        <item x="496"/>
        <item x="601"/>
        <item x="117"/>
        <item x="303"/>
        <item x="390"/>
        <item x="512"/>
        <item x="309"/>
        <item x="523"/>
        <item x="25"/>
        <item x="572"/>
        <item x="268"/>
        <item x="311"/>
        <item x="160"/>
        <item x="327"/>
        <item x="11"/>
        <item x="293"/>
        <item x="73"/>
        <item x="205"/>
        <item x="234"/>
        <item x="460"/>
        <item x="338"/>
        <item x="440"/>
        <item x="482"/>
        <item x="177"/>
        <item x="246"/>
        <item x="109"/>
        <item x="235"/>
        <item x="595"/>
        <item x="150"/>
        <item x="294"/>
        <item x="307"/>
        <item x="462"/>
        <item x="532"/>
        <item x="549"/>
        <item x="304"/>
        <item x="207"/>
        <item x="154"/>
        <item x="610"/>
        <item x="110"/>
        <item x="226"/>
        <item x="498"/>
        <item x="353"/>
        <item x="267"/>
        <item x="546"/>
        <item x="148"/>
        <item x="89"/>
        <item x="361"/>
        <item x="357"/>
        <item x="153"/>
        <item x="515"/>
        <item x="521"/>
        <item x="242"/>
        <item x="114"/>
        <item x="413"/>
        <item x="427"/>
        <item x="564"/>
        <item x="488"/>
        <item x="392"/>
        <item x="59"/>
        <item x="330"/>
        <item x="36"/>
        <item x="280"/>
        <item x="201"/>
        <item x="590"/>
        <item x="140"/>
        <item x="424"/>
        <item x="518"/>
        <item x="608"/>
        <item x="306"/>
        <item x="379"/>
        <item x="605"/>
        <item x="376"/>
        <item x="586"/>
        <item x="163"/>
        <item x="185"/>
        <item x="416"/>
        <item x="426"/>
        <item x="516"/>
        <item x="373"/>
        <item x="165"/>
        <item x="342"/>
        <item x="122"/>
        <item x="471"/>
        <item x="579"/>
        <item x="386"/>
        <item x="467"/>
        <item x="329"/>
        <item x="299"/>
        <item x="145"/>
        <item x="274"/>
        <item x="461"/>
        <item x="612"/>
        <item x="552"/>
        <item x="289"/>
        <item x="173"/>
        <item x="238"/>
        <item x="244"/>
        <item x="517"/>
        <item x="398"/>
        <item x="275"/>
        <item x="60"/>
        <item x="90"/>
        <item x="104"/>
        <item x="465"/>
        <item x="272"/>
        <item x="95"/>
        <item x="17"/>
        <item x="196"/>
        <item x="347"/>
        <item x="166"/>
        <item x="250"/>
        <item x="562"/>
        <item x="417"/>
        <item x="16"/>
        <item x="500"/>
        <item x="27"/>
        <item x="7"/>
        <item x="563"/>
        <item x="190"/>
        <item x="324"/>
        <item x="505"/>
        <item x="406"/>
        <item x="261"/>
        <item x="558"/>
        <item x="124"/>
        <item x="317"/>
        <item x="575"/>
        <item x="146"/>
        <item x="285"/>
        <item x="359"/>
        <item x="51"/>
        <item x="322"/>
        <item x="468"/>
        <item x="604"/>
        <item x="388"/>
        <item x="204"/>
        <item x="528"/>
        <item x="560"/>
        <item x="118"/>
        <item x="540"/>
        <item x="108"/>
        <item x="103"/>
        <item x="192"/>
        <item x="567"/>
        <item x="249"/>
        <item x="420"/>
        <item x="147"/>
        <item x="70"/>
        <item x="541"/>
        <item x="578"/>
        <item x="62"/>
        <item x="13"/>
        <item x="292"/>
        <item x="240"/>
        <item x="371"/>
        <item x="169"/>
        <item x="494"/>
        <item x="258"/>
        <item x="255"/>
        <item x="143"/>
        <item x="428"/>
        <item x="581"/>
        <item x="84"/>
        <item x="607"/>
        <item x="499"/>
        <item x="217"/>
        <item x="188"/>
        <item x="111"/>
        <item x="553"/>
        <item x="430"/>
        <item x="524"/>
        <item x="164"/>
        <item x="539"/>
        <item x="21"/>
        <item x="341"/>
        <item x="367"/>
        <item x="421"/>
        <item x="32"/>
        <item x="481"/>
        <item x="37"/>
        <item x="208"/>
        <item x="503"/>
        <item x="368"/>
        <item x="22"/>
        <item x="243"/>
        <item x="321"/>
        <item x="446"/>
        <item x="589"/>
        <item x="225"/>
        <item x="195"/>
        <item x="600"/>
        <item x="64"/>
        <item x="399"/>
        <item x="41"/>
        <item x="176"/>
        <item x="323"/>
        <item x="383"/>
        <item x="68"/>
        <item x="506"/>
        <item x="211"/>
        <item x="86"/>
        <item x="181"/>
        <item x="24"/>
        <item x="613"/>
        <item x="3"/>
        <item x="501"/>
        <item x="596"/>
        <item x="394"/>
        <item x="81"/>
        <item x="504"/>
        <item x="378"/>
        <item x="257"/>
        <item x="547"/>
        <item x="131"/>
        <item x="94"/>
        <item x="362"/>
        <item x="380"/>
        <item x="423"/>
        <item x="96"/>
        <item x="574"/>
        <item x="180"/>
        <item x="42"/>
        <item x="65"/>
        <item x="209"/>
        <item x="40"/>
        <item x="141"/>
        <item x="282"/>
        <item x="283"/>
        <item x="571"/>
        <item x="286"/>
        <item x="479"/>
        <item x="210"/>
        <item x="75"/>
        <item x="278"/>
        <item x="473"/>
        <item x="508"/>
        <item x="377"/>
        <item x="0"/>
        <item x="510"/>
        <item x="337"/>
        <item x="248"/>
        <item x="284"/>
        <item x="432"/>
        <item x="569"/>
        <item x="219"/>
        <item x="511"/>
        <item x="45"/>
        <item x="542"/>
        <item x="48"/>
        <item x="360"/>
        <item x="611"/>
        <item x="316"/>
        <item x="548"/>
        <item x="509"/>
        <item x="53"/>
        <item x="455"/>
        <item x="422"/>
        <item x="587"/>
        <item x="493"/>
        <item x="492"/>
        <item x="458"/>
        <item x="448"/>
        <item x="333"/>
        <item x="457"/>
        <item x="224"/>
        <item x="49"/>
        <item x="387"/>
        <item x="61"/>
        <item x="495"/>
        <item x="453"/>
        <item x="609"/>
        <item x="470"/>
        <item x="598"/>
        <item x="464"/>
        <item x="480"/>
        <item x="97"/>
        <item x="314"/>
        <item x="4"/>
        <item x="66"/>
        <item x="175"/>
        <item x="381"/>
        <item x="599"/>
        <item x="434"/>
        <item x="199"/>
        <item x="363"/>
        <item x="300"/>
        <item x="442"/>
        <item x="437"/>
        <item x="312"/>
        <item x="339"/>
        <item x="19"/>
        <item x="121"/>
        <item x="20"/>
        <item x="395"/>
        <item x="116"/>
        <item x="187"/>
        <item x="63"/>
        <item x="597"/>
        <item x="29"/>
        <item x="265"/>
        <item x="352"/>
        <item x="126"/>
        <item x="385"/>
        <item x="593"/>
        <item x="459"/>
        <item x="319"/>
        <item x="107"/>
        <item x="443"/>
        <item x="483"/>
        <item x="239"/>
        <item x="156"/>
        <item x="484"/>
        <item x="400"/>
        <item x="99"/>
        <item x="325"/>
        <item x="554"/>
        <item x="215"/>
        <item x="525"/>
        <item x="529"/>
        <item x="346"/>
        <item x="149"/>
        <item x="1"/>
        <item x="419"/>
        <item x="404"/>
        <item x="530"/>
        <item x="401"/>
        <item x="247"/>
        <item x="287"/>
        <item x="291"/>
        <item x="102"/>
        <item x="10"/>
        <item x="182"/>
        <item x="191"/>
        <item x="237"/>
        <item x="92"/>
        <item x="279"/>
        <item x="370"/>
        <item x="302"/>
        <item x="281"/>
        <item x="26"/>
        <item x="245"/>
        <item x="74"/>
        <item x="50"/>
        <item x="405"/>
        <item x="213"/>
        <item x="451"/>
        <item x="472"/>
        <item x="179"/>
        <item x="555"/>
        <item x="486"/>
        <item x="71"/>
        <item x="31"/>
        <item x="577"/>
        <item x="411"/>
        <item x="184"/>
        <item x="556"/>
        <item x="374"/>
        <item x="296"/>
        <item x="538"/>
        <item x="9"/>
        <item x="534"/>
        <item x="469"/>
        <item x="335"/>
        <item x="366"/>
        <item x="120"/>
        <item x="502"/>
        <item x="332"/>
        <item x="557"/>
        <item x="568"/>
        <item x="489"/>
        <item x="288"/>
        <item x="253"/>
        <item x="72"/>
        <item x="8"/>
        <item x="256"/>
        <item x="466"/>
        <item x="449"/>
        <item x="144"/>
        <item x="171"/>
        <item x="497"/>
        <item x="297"/>
        <item x="79"/>
        <item x="93"/>
        <item x="172"/>
        <item x="77"/>
        <item x="295"/>
        <item x="348"/>
        <item x="487"/>
        <item x="431"/>
        <item x="76"/>
        <item x="463"/>
        <item x="476"/>
        <item x="475"/>
        <item x="139"/>
        <item x="301"/>
        <item x="535"/>
        <item x="441"/>
        <item x="531"/>
        <item x="82"/>
        <item x="54"/>
        <item x="223"/>
        <item x="39"/>
        <item x="23"/>
        <item x="52"/>
        <item x="30"/>
        <item x="162"/>
        <item x="98"/>
        <item x="355"/>
        <item x="159"/>
        <item x="526"/>
        <item x="415"/>
        <item x="514"/>
        <item x="136"/>
        <item x="456"/>
        <item x="18"/>
        <item x="220"/>
        <item x="266"/>
        <item x="142"/>
        <item x="418"/>
        <item x="382"/>
        <item x="269"/>
        <item x="197"/>
        <item x="478"/>
        <item x="351"/>
        <item x="170"/>
        <item x="425"/>
        <item x="264"/>
        <item x="123"/>
        <item x="130"/>
        <item x="559"/>
        <item x="527"/>
        <item x="262"/>
        <item x="277"/>
        <item x="137"/>
        <item x="585"/>
        <item x="570"/>
        <item x="594"/>
        <item x="318"/>
        <item x="138"/>
        <item x="151"/>
        <item x="551"/>
        <item x="214"/>
        <item x="537"/>
        <item x="87"/>
        <item x="429"/>
        <item x="6"/>
        <item x="588"/>
        <item x="155"/>
        <item x="340"/>
        <item x="344"/>
        <item x="334"/>
        <item x="186"/>
        <item x="603"/>
        <item x="566"/>
        <item x="14"/>
        <item x="91"/>
        <item x="85"/>
        <item x="369"/>
        <item x="536"/>
        <item x="152"/>
        <item x="203"/>
        <item x="305"/>
        <item x="561"/>
        <item x="375"/>
        <item x="113"/>
        <item x="158"/>
        <item x="326"/>
        <item x="212"/>
        <item x="101"/>
        <item x="35"/>
        <item x="221"/>
        <item x="290"/>
        <item x="216"/>
        <item x="5"/>
        <item x="56"/>
        <item x="202"/>
        <item x="254"/>
        <item x="168"/>
        <item x="193"/>
        <item x="407"/>
        <item x="436"/>
        <item x="565"/>
        <item x="33"/>
        <item x="125"/>
        <item x="132"/>
        <item x="218"/>
        <item x="232"/>
        <item x="358"/>
        <item x="409"/>
        <item x="115"/>
        <item x="356"/>
        <item x="12"/>
        <item x="345"/>
        <item x="396"/>
        <item t="default"/>
      </items>
    </pivotField>
    <pivotField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21">
    <i>
      <x v="8"/>
    </i>
    <i>
      <x v="17"/>
    </i>
    <i>
      <x v="12"/>
    </i>
    <i>
      <x v="18"/>
    </i>
    <i>
      <x v="4"/>
    </i>
    <i>
      <x v="13"/>
    </i>
    <i>
      <x v="9"/>
    </i>
    <i>
      <x/>
    </i>
    <i>
      <x v="10"/>
    </i>
    <i>
      <x v="6"/>
    </i>
    <i>
      <x v="7"/>
    </i>
    <i>
      <x v="2"/>
    </i>
    <i>
      <x v="11"/>
    </i>
    <i>
      <x v="1"/>
    </i>
    <i>
      <x v="19"/>
    </i>
    <i>
      <x v="3"/>
    </i>
    <i>
      <x v="5"/>
    </i>
    <i>
      <x v="16"/>
    </i>
    <i>
      <x v="14"/>
    </i>
    <i>
      <x v="15"/>
    </i>
    <i t="grand">
      <x/>
    </i>
  </rowItems>
  <colItems count="1">
    <i/>
  </colItems>
  <dataFields count="1">
    <dataField name="Sum of InvoiceTotal" fld="5" baseField="0" baseItem="0" numFmtId="44"/>
  </dataFields>
  <formats count="7">
    <format dxfId="38">
      <pivotArea outline="0" collapsedLevelsAreSubtotals="1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zoomScale="102" workbookViewId="0">
      <pane ySplit="1" topLeftCell="A30" activePane="bottomLeft" state="frozen"/>
      <selection pane="bottomLeft" sqref="A1:I1048576"/>
    </sheetView>
  </sheetViews>
  <sheetFormatPr defaultRowHeight="15.6" x14ac:dyDescent="0.3"/>
  <cols>
    <col min="1" max="1" width="8.33203125" style="11" bestFit="1" customWidth="1"/>
    <col min="2" max="2" width="7.44140625" style="11" bestFit="1" customWidth="1"/>
    <col min="3" max="3" width="14.109375" style="11" bestFit="1" customWidth="1"/>
    <col min="4" max="4" width="9.5546875" style="11" bestFit="1" customWidth="1"/>
    <col min="5" max="5" width="4.44140625" style="11" bestFit="1" customWidth="1"/>
    <col min="6" max="6" width="12.5546875" style="11" bestFit="1" customWidth="1"/>
    <col min="7" max="7" width="12" style="11" bestFit="1" customWidth="1"/>
    <col min="8" max="8" width="13.6640625" style="11" bestFit="1" customWidth="1"/>
    <col min="11" max="11" width="6.88671875" bestFit="1" customWidth="1"/>
    <col min="12" max="12" width="23.109375" bestFit="1" customWidth="1"/>
    <col min="14" max="14" width="12.33203125" bestFit="1" customWidth="1"/>
    <col min="15" max="15" width="24.44140625" bestFit="1" customWidth="1"/>
  </cols>
  <sheetData>
    <row r="1" spans="1:1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27" t="s">
        <v>169</v>
      </c>
    </row>
    <row r="2" spans="1:15" x14ac:dyDescent="0.3">
      <c r="A2" s="11">
        <v>68847</v>
      </c>
      <c r="B2" s="11" t="s">
        <v>8</v>
      </c>
      <c r="C2" s="11" t="s">
        <v>28</v>
      </c>
      <c r="D2" s="11">
        <v>855.99</v>
      </c>
      <c r="E2" s="11">
        <v>10</v>
      </c>
      <c r="F2" s="11">
        <v>8559.9</v>
      </c>
      <c r="G2" s="12">
        <v>45251</v>
      </c>
      <c r="H2" s="12">
        <v>45360</v>
      </c>
      <c r="I2">
        <f>IF(DATEDIF(G2,H2,"d") &gt; 15,1,0)</f>
        <v>1</v>
      </c>
    </row>
    <row r="3" spans="1:15" x14ac:dyDescent="0.3">
      <c r="A3" s="11">
        <v>83031</v>
      </c>
      <c r="B3" s="11" t="s">
        <v>9</v>
      </c>
      <c r="C3" s="11" t="s">
        <v>29</v>
      </c>
      <c r="D3" s="11">
        <v>683.98</v>
      </c>
      <c r="E3" s="11">
        <v>27</v>
      </c>
      <c r="F3" s="11">
        <v>18467.46</v>
      </c>
      <c r="G3" s="12">
        <v>45618</v>
      </c>
      <c r="H3" s="12">
        <v>45455</v>
      </c>
      <c r="I3" t="e">
        <f t="shared" ref="I3:I66" si="0">IF(DATEDIF(G3,H3,"d") &gt; 15,1,0)</f>
        <v>#NUM!</v>
      </c>
      <c r="K3" s="1" t="s">
        <v>1</v>
      </c>
      <c r="L3" s="1" t="s">
        <v>117</v>
      </c>
      <c r="N3" s="3" t="s">
        <v>2</v>
      </c>
      <c r="O3" s="3" t="s">
        <v>138</v>
      </c>
    </row>
    <row r="4" spans="1:15" x14ac:dyDescent="0.3">
      <c r="A4" s="11">
        <v>28616</v>
      </c>
      <c r="B4" s="11" t="s">
        <v>10</v>
      </c>
      <c r="C4" s="11" t="s">
        <v>30</v>
      </c>
      <c r="D4" s="11">
        <v>68.05</v>
      </c>
      <c r="E4" s="11">
        <v>47</v>
      </c>
      <c r="F4" s="11">
        <v>3198.35</v>
      </c>
      <c r="G4" s="12">
        <v>45467</v>
      </c>
      <c r="H4" s="12">
        <v>44975</v>
      </c>
      <c r="I4" t="e">
        <f t="shared" si="0"/>
        <v>#NUM!</v>
      </c>
      <c r="K4" s="2" t="s">
        <v>25</v>
      </c>
      <c r="L4" s="2" t="s">
        <v>118</v>
      </c>
      <c r="N4" s="2" t="s">
        <v>58</v>
      </c>
      <c r="O4" s="2" t="s">
        <v>105</v>
      </c>
    </row>
    <row r="5" spans="1:15" x14ac:dyDescent="0.3">
      <c r="A5" s="11">
        <v>64807</v>
      </c>
      <c r="B5" s="11" t="s">
        <v>11</v>
      </c>
      <c r="C5" s="11" t="s">
        <v>31</v>
      </c>
      <c r="D5" s="11">
        <v>449.74</v>
      </c>
      <c r="E5" s="11">
        <v>5</v>
      </c>
      <c r="F5" s="11">
        <v>2248.6999999999998</v>
      </c>
      <c r="G5" s="12">
        <v>45608</v>
      </c>
      <c r="H5" s="12">
        <v>45324</v>
      </c>
      <c r="I5" t="e">
        <f t="shared" si="0"/>
        <v>#NUM!</v>
      </c>
      <c r="K5" s="2" t="s">
        <v>10</v>
      </c>
      <c r="L5" s="2" t="s">
        <v>119</v>
      </c>
      <c r="N5" s="2" t="s">
        <v>51</v>
      </c>
      <c r="O5" s="2" t="s">
        <v>100</v>
      </c>
    </row>
    <row r="6" spans="1:15" x14ac:dyDescent="0.3">
      <c r="A6" s="11">
        <v>94901</v>
      </c>
      <c r="B6" s="11" t="s">
        <v>12</v>
      </c>
      <c r="C6" s="11" t="s">
        <v>32</v>
      </c>
      <c r="D6" s="11">
        <v>546.64</v>
      </c>
      <c r="E6" s="11">
        <v>19</v>
      </c>
      <c r="F6" s="11">
        <v>10386.16</v>
      </c>
      <c r="G6" s="12">
        <v>45639</v>
      </c>
      <c r="H6" s="12">
        <v>45403</v>
      </c>
      <c r="I6" t="e">
        <f t="shared" si="0"/>
        <v>#NUM!</v>
      </c>
      <c r="K6" s="2" t="s">
        <v>12</v>
      </c>
      <c r="L6" s="2" t="s">
        <v>120</v>
      </c>
      <c r="N6" s="2" t="s">
        <v>41</v>
      </c>
      <c r="O6" s="2" t="s">
        <v>91</v>
      </c>
    </row>
    <row r="7" spans="1:15" x14ac:dyDescent="0.3">
      <c r="A7" s="11">
        <v>36511</v>
      </c>
      <c r="B7" s="11" t="s">
        <v>13</v>
      </c>
      <c r="C7" s="11" t="s">
        <v>33</v>
      </c>
      <c r="D7" s="11">
        <v>622.16</v>
      </c>
      <c r="E7" s="11">
        <v>19</v>
      </c>
      <c r="F7" s="11">
        <v>11821.04</v>
      </c>
      <c r="G7" s="12">
        <v>45431</v>
      </c>
      <c r="H7" s="12">
        <v>45630</v>
      </c>
      <c r="I7">
        <f t="shared" si="0"/>
        <v>1</v>
      </c>
      <c r="K7" s="2" t="s">
        <v>22</v>
      </c>
      <c r="L7" s="2" t="s">
        <v>121</v>
      </c>
      <c r="N7" s="2" t="s">
        <v>59</v>
      </c>
      <c r="O7" s="2" t="s">
        <v>106</v>
      </c>
    </row>
    <row r="8" spans="1:15" x14ac:dyDescent="0.3">
      <c r="A8" s="11">
        <v>55572</v>
      </c>
      <c r="B8" s="11" t="s">
        <v>13</v>
      </c>
      <c r="C8" s="11" t="s">
        <v>34</v>
      </c>
      <c r="D8" s="11">
        <v>222.47</v>
      </c>
      <c r="E8" s="11">
        <v>4</v>
      </c>
      <c r="F8" s="11">
        <v>889.88</v>
      </c>
      <c r="G8" s="12">
        <v>45382</v>
      </c>
      <c r="H8" s="12">
        <v>45598</v>
      </c>
      <c r="I8">
        <f t="shared" si="0"/>
        <v>1</v>
      </c>
      <c r="K8" s="2" t="s">
        <v>17</v>
      </c>
      <c r="L8" s="2" t="s">
        <v>122</v>
      </c>
      <c r="N8" s="2" t="s">
        <v>63</v>
      </c>
      <c r="O8" s="2" t="s">
        <v>109</v>
      </c>
    </row>
    <row r="9" spans="1:15" x14ac:dyDescent="0.3">
      <c r="A9" s="11">
        <v>65597</v>
      </c>
      <c r="B9" s="11" t="s">
        <v>14</v>
      </c>
      <c r="C9" s="11" t="s">
        <v>35</v>
      </c>
      <c r="D9" s="11">
        <v>101.12</v>
      </c>
      <c r="E9" s="11">
        <v>40</v>
      </c>
      <c r="F9" s="11">
        <v>4044.8</v>
      </c>
      <c r="G9" s="12">
        <v>45341</v>
      </c>
      <c r="H9" s="12">
        <v>45226</v>
      </c>
      <c r="I9" t="e">
        <f t="shared" si="0"/>
        <v>#NUM!</v>
      </c>
      <c r="K9" s="2" t="s">
        <v>19</v>
      </c>
      <c r="L9" s="2" t="s">
        <v>123</v>
      </c>
      <c r="N9" s="2" t="s">
        <v>33</v>
      </c>
      <c r="O9" s="2" t="s">
        <v>83</v>
      </c>
    </row>
    <row r="10" spans="1:15" x14ac:dyDescent="0.3">
      <c r="A10" s="11">
        <v>46726</v>
      </c>
      <c r="B10" s="11" t="s">
        <v>15</v>
      </c>
      <c r="C10" s="11" t="s">
        <v>36</v>
      </c>
      <c r="D10" s="11">
        <v>596.97</v>
      </c>
      <c r="E10" s="11">
        <v>42</v>
      </c>
      <c r="F10" s="11">
        <v>25072.74</v>
      </c>
      <c r="G10" s="12">
        <v>45448</v>
      </c>
      <c r="H10" s="12">
        <v>45508</v>
      </c>
      <c r="I10">
        <f t="shared" si="0"/>
        <v>1</v>
      </c>
      <c r="K10" s="2" t="s">
        <v>9</v>
      </c>
      <c r="L10" s="2" t="s">
        <v>124</v>
      </c>
      <c r="N10" s="2" t="s">
        <v>71</v>
      </c>
      <c r="O10" s="2" t="s">
        <v>114</v>
      </c>
    </row>
    <row r="11" spans="1:15" x14ac:dyDescent="0.3">
      <c r="A11" s="11">
        <v>72837</v>
      </c>
      <c r="B11" s="11" t="s">
        <v>9</v>
      </c>
      <c r="C11" s="11" t="s">
        <v>37</v>
      </c>
      <c r="D11" s="11">
        <v>796.94</v>
      </c>
      <c r="E11" s="11">
        <v>24</v>
      </c>
      <c r="F11" s="11">
        <v>19126.560000000001</v>
      </c>
      <c r="G11" s="12">
        <v>44966</v>
      </c>
      <c r="H11" s="12">
        <v>45494</v>
      </c>
      <c r="I11">
        <f t="shared" si="0"/>
        <v>1</v>
      </c>
      <c r="K11" s="2" t="s">
        <v>14</v>
      </c>
      <c r="L11" s="2" t="s">
        <v>125</v>
      </c>
      <c r="N11" s="2" t="s">
        <v>70</v>
      </c>
      <c r="O11" s="2" t="s">
        <v>113</v>
      </c>
    </row>
    <row r="12" spans="1:15" x14ac:dyDescent="0.3">
      <c r="A12" s="11">
        <v>27383</v>
      </c>
      <c r="B12" s="11" t="s">
        <v>16</v>
      </c>
      <c r="C12" s="11" t="s">
        <v>32</v>
      </c>
      <c r="D12" s="11">
        <v>546.64</v>
      </c>
      <c r="E12" s="11">
        <v>10</v>
      </c>
      <c r="F12" s="11">
        <v>5466.4</v>
      </c>
      <c r="G12" s="12">
        <v>45036</v>
      </c>
      <c r="H12" s="12">
        <v>45465</v>
      </c>
      <c r="I12">
        <f t="shared" si="0"/>
        <v>1</v>
      </c>
      <c r="K12" s="2" t="s">
        <v>16</v>
      </c>
      <c r="L12" s="2" t="s">
        <v>126</v>
      </c>
      <c r="N12" s="2" t="s">
        <v>67</v>
      </c>
      <c r="O12" s="2" t="s">
        <v>111</v>
      </c>
    </row>
    <row r="13" spans="1:15" x14ac:dyDescent="0.3">
      <c r="A13" s="11">
        <v>58022</v>
      </c>
      <c r="B13" s="11" t="s">
        <v>17</v>
      </c>
      <c r="C13" s="11" t="s">
        <v>38</v>
      </c>
      <c r="D13" s="11">
        <v>233.83</v>
      </c>
      <c r="E13" s="11">
        <v>31</v>
      </c>
      <c r="F13" s="11">
        <v>7248.73</v>
      </c>
      <c r="G13" s="12">
        <v>45197</v>
      </c>
      <c r="H13" s="12">
        <v>45105</v>
      </c>
      <c r="I13" t="e">
        <f t="shared" si="0"/>
        <v>#NUM!</v>
      </c>
      <c r="K13" s="2" t="s">
        <v>8</v>
      </c>
      <c r="L13" s="2" t="s">
        <v>127</v>
      </c>
      <c r="N13" s="2" t="s">
        <v>55</v>
      </c>
      <c r="O13" s="2" t="s">
        <v>104</v>
      </c>
    </row>
    <row r="14" spans="1:15" x14ac:dyDescent="0.3">
      <c r="A14" s="11">
        <v>34963</v>
      </c>
      <c r="B14" s="11" t="s">
        <v>18</v>
      </c>
      <c r="C14" s="11" t="s">
        <v>39</v>
      </c>
      <c r="D14" s="11">
        <v>988.47</v>
      </c>
      <c r="E14" s="11">
        <v>41</v>
      </c>
      <c r="F14" s="11">
        <v>40527.269999999997</v>
      </c>
      <c r="G14" s="12">
        <v>45202</v>
      </c>
      <c r="H14" s="12">
        <v>45650</v>
      </c>
      <c r="I14">
        <f t="shared" si="0"/>
        <v>1</v>
      </c>
      <c r="K14" s="2" t="s">
        <v>18</v>
      </c>
      <c r="L14" s="2" t="s">
        <v>128</v>
      </c>
      <c r="N14" s="2" t="s">
        <v>53</v>
      </c>
      <c r="O14" s="2" t="s">
        <v>102</v>
      </c>
    </row>
    <row r="15" spans="1:15" x14ac:dyDescent="0.3">
      <c r="A15" s="11">
        <v>29750</v>
      </c>
      <c r="B15" s="11" t="s">
        <v>15</v>
      </c>
      <c r="C15" s="11" t="s">
        <v>40</v>
      </c>
      <c r="D15" s="11">
        <v>875.47</v>
      </c>
      <c r="E15" s="11">
        <v>10</v>
      </c>
      <c r="F15" s="11">
        <v>8754.7000000000007</v>
      </c>
      <c r="G15" s="12">
        <v>45647</v>
      </c>
      <c r="H15" s="12">
        <v>45268</v>
      </c>
      <c r="I15" t="e">
        <f t="shared" si="0"/>
        <v>#NUM!</v>
      </c>
      <c r="K15" s="2" t="s">
        <v>20</v>
      </c>
      <c r="L15" s="2" t="s">
        <v>129</v>
      </c>
      <c r="N15" s="2" t="s">
        <v>54</v>
      </c>
      <c r="O15" s="2" t="s">
        <v>103</v>
      </c>
    </row>
    <row r="16" spans="1:15" x14ac:dyDescent="0.3">
      <c r="A16" s="11">
        <v>30701</v>
      </c>
      <c r="B16" s="11" t="s">
        <v>19</v>
      </c>
      <c r="C16" s="11" t="s">
        <v>31</v>
      </c>
      <c r="D16" s="11">
        <v>449.74</v>
      </c>
      <c r="E16" s="11">
        <v>3</v>
      </c>
      <c r="F16" s="11">
        <v>1349.22</v>
      </c>
      <c r="G16" s="12">
        <v>45243</v>
      </c>
      <c r="H16" s="12">
        <v>45608</v>
      </c>
      <c r="I16">
        <f t="shared" si="0"/>
        <v>1</v>
      </c>
      <c r="K16" s="2" t="s">
        <v>21</v>
      </c>
      <c r="L16" s="2" t="s">
        <v>130</v>
      </c>
      <c r="N16" s="2" t="s">
        <v>75</v>
      </c>
      <c r="O16" s="2" t="s">
        <v>108</v>
      </c>
    </row>
    <row r="17" spans="1:15" x14ac:dyDescent="0.3">
      <c r="A17" s="11">
        <v>78592</v>
      </c>
      <c r="B17" s="11" t="s">
        <v>9</v>
      </c>
      <c r="C17" s="11" t="s">
        <v>41</v>
      </c>
      <c r="D17" s="11">
        <v>110.41</v>
      </c>
      <c r="E17" s="11">
        <v>45</v>
      </c>
      <c r="F17" s="11">
        <v>4968.45</v>
      </c>
      <c r="G17" s="12">
        <v>45652</v>
      </c>
      <c r="H17" s="12">
        <v>45011</v>
      </c>
      <c r="I17" t="e">
        <f t="shared" si="0"/>
        <v>#NUM!</v>
      </c>
      <c r="K17" s="2" t="s">
        <v>13</v>
      </c>
      <c r="L17" s="2" t="s">
        <v>131</v>
      </c>
      <c r="N17" s="2" t="s">
        <v>60</v>
      </c>
      <c r="O17" s="2" t="s">
        <v>89</v>
      </c>
    </row>
    <row r="18" spans="1:15" x14ac:dyDescent="0.3">
      <c r="A18" s="11">
        <v>47712</v>
      </c>
      <c r="B18" s="11" t="s">
        <v>10</v>
      </c>
      <c r="C18" s="11" t="s">
        <v>42</v>
      </c>
      <c r="D18" s="11">
        <v>112.52</v>
      </c>
      <c r="E18" s="11">
        <v>21</v>
      </c>
      <c r="F18" s="11">
        <v>2362.92</v>
      </c>
      <c r="G18" s="12">
        <v>45061</v>
      </c>
      <c r="H18" s="12">
        <v>45222</v>
      </c>
      <c r="I18">
        <f t="shared" si="0"/>
        <v>1</v>
      </c>
      <c r="K18" s="2" t="s">
        <v>11</v>
      </c>
      <c r="L18" s="2" t="s">
        <v>132</v>
      </c>
      <c r="N18" s="2" t="s">
        <v>69</v>
      </c>
      <c r="O18" s="2" t="s">
        <v>98</v>
      </c>
    </row>
    <row r="19" spans="1:15" x14ac:dyDescent="0.3">
      <c r="A19" s="11">
        <v>51655</v>
      </c>
      <c r="B19" s="11" t="s">
        <v>13</v>
      </c>
      <c r="C19" s="11" t="s">
        <v>43</v>
      </c>
      <c r="D19" s="11">
        <v>608.37</v>
      </c>
      <c r="E19" s="11">
        <v>23</v>
      </c>
      <c r="F19" s="11">
        <v>13992.51</v>
      </c>
      <c r="G19" s="12">
        <v>44999</v>
      </c>
      <c r="H19" s="12">
        <v>45211</v>
      </c>
      <c r="I19">
        <f t="shared" si="0"/>
        <v>1</v>
      </c>
      <c r="K19" s="2" t="s">
        <v>27</v>
      </c>
      <c r="L19" s="2" t="s">
        <v>133</v>
      </c>
      <c r="N19" s="2" t="s">
        <v>77</v>
      </c>
      <c r="O19" s="2" t="s">
        <v>105</v>
      </c>
    </row>
    <row r="20" spans="1:15" x14ac:dyDescent="0.3">
      <c r="A20" s="11">
        <v>80196</v>
      </c>
      <c r="B20" s="11" t="s">
        <v>20</v>
      </c>
      <c r="C20" s="11" t="s">
        <v>37</v>
      </c>
      <c r="D20" s="11">
        <v>796.94</v>
      </c>
      <c r="E20" s="11">
        <v>44</v>
      </c>
      <c r="F20" s="11">
        <v>35065.360000000001</v>
      </c>
      <c r="G20" s="12">
        <v>45153</v>
      </c>
      <c r="H20" s="12">
        <v>45564</v>
      </c>
      <c r="I20">
        <f t="shared" si="0"/>
        <v>1</v>
      </c>
      <c r="K20" s="2" t="s">
        <v>23</v>
      </c>
      <c r="L20" s="2" t="s">
        <v>134</v>
      </c>
      <c r="N20" s="2" t="s">
        <v>49</v>
      </c>
      <c r="O20" s="2" t="s">
        <v>99</v>
      </c>
    </row>
    <row r="21" spans="1:15" x14ac:dyDescent="0.3">
      <c r="A21" s="11">
        <v>91146</v>
      </c>
      <c r="B21" s="11" t="s">
        <v>21</v>
      </c>
      <c r="C21" s="11" t="s">
        <v>44</v>
      </c>
      <c r="D21" s="11">
        <v>654.4</v>
      </c>
      <c r="E21" s="11">
        <v>18</v>
      </c>
      <c r="F21" s="11">
        <v>11779.2</v>
      </c>
      <c r="G21" s="12">
        <v>45272</v>
      </c>
      <c r="H21" s="12">
        <v>45421</v>
      </c>
      <c r="I21">
        <f t="shared" si="0"/>
        <v>1</v>
      </c>
      <c r="K21" s="2" t="s">
        <v>24</v>
      </c>
      <c r="L21" s="2" t="s">
        <v>135</v>
      </c>
      <c r="N21" s="2" t="s">
        <v>42</v>
      </c>
      <c r="O21" s="2" t="s">
        <v>92</v>
      </c>
    </row>
    <row r="22" spans="1:15" x14ac:dyDescent="0.3">
      <c r="A22" s="11">
        <v>55666</v>
      </c>
      <c r="B22" s="11" t="s">
        <v>18</v>
      </c>
      <c r="C22" s="11" t="s">
        <v>45</v>
      </c>
      <c r="D22" s="11">
        <v>366.3</v>
      </c>
      <c r="E22" s="11">
        <v>1</v>
      </c>
      <c r="F22" s="11">
        <v>366.3</v>
      </c>
      <c r="G22" s="12">
        <v>45658</v>
      </c>
      <c r="H22" s="12">
        <v>45423</v>
      </c>
      <c r="I22" t="e">
        <f t="shared" si="0"/>
        <v>#NUM!</v>
      </c>
      <c r="K22" s="2" t="s">
        <v>26</v>
      </c>
      <c r="L22" s="2" t="s">
        <v>136</v>
      </c>
      <c r="N22" s="2" t="s">
        <v>72</v>
      </c>
      <c r="O22" s="2" t="s">
        <v>115</v>
      </c>
    </row>
    <row r="23" spans="1:15" x14ac:dyDescent="0.3">
      <c r="A23" s="11">
        <v>39787</v>
      </c>
      <c r="B23" s="11" t="s">
        <v>18</v>
      </c>
      <c r="C23" s="11" t="s">
        <v>34</v>
      </c>
      <c r="D23" s="11">
        <v>222.47</v>
      </c>
      <c r="E23" s="11">
        <v>8</v>
      </c>
      <c r="F23" s="11">
        <v>1779.76</v>
      </c>
      <c r="G23" s="12">
        <v>45278</v>
      </c>
      <c r="H23" s="12">
        <v>45291</v>
      </c>
      <c r="I23">
        <f t="shared" si="0"/>
        <v>0</v>
      </c>
      <c r="K23" s="2" t="s">
        <v>15</v>
      </c>
      <c r="L23" s="2" t="s">
        <v>137</v>
      </c>
      <c r="N23" s="2" t="s">
        <v>31</v>
      </c>
      <c r="O23" s="2" t="s">
        <v>81</v>
      </c>
    </row>
    <row r="24" spans="1:15" x14ac:dyDescent="0.3">
      <c r="A24" s="11">
        <v>24077</v>
      </c>
      <c r="B24" s="11" t="s">
        <v>9</v>
      </c>
      <c r="C24" s="11" t="s">
        <v>46</v>
      </c>
      <c r="D24" s="11">
        <v>617.33000000000004</v>
      </c>
      <c r="E24" s="11">
        <v>50</v>
      </c>
      <c r="F24" s="11">
        <v>30866.5</v>
      </c>
      <c r="G24" s="12">
        <v>45194</v>
      </c>
      <c r="H24" s="12">
        <v>45302</v>
      </c>
      <c r="I24">
        <f t="shared" si="0"/>
        <v>1</v>
      </c>
      <c r="N24" s="2" t="s">
        <v>52</v>
      </c>
      <c r="O24" s="2" t="s">
        <v>101</v>
      </c>
    </row>
    <row r="25" spans="1:15" x14ac:dyDescent="0.3">
      <c r="A25" s="11">
        <v>78821</v>
      </c>
      <c r="B25" s="11" t="s">
        <v>16</v>
      </c>
      <c r="C25" s="11" t="s">
        <v>35</v>
      </c>
      <c r="D25" s="11">
        <v>101.12</v>
      </c>
      <c r="E25" s="11">
        <v>47</v>
      </c>
      <c r="F25" s="11">
        <v>4752.6400000000003</v>
      </c>
      <c r="G25" s="12">
        <v>45229</v>
      </c>
      <c r="H25" s="12">
        <v>45302</v>
      </c>
      <c r="I25">
        <f t="shared" si="0"/>
        <v>1</v>
      </c>
      <c r="N25" s="2" t="s">
        <v>47</v>
      </c>
      <c r="O25" s="2" t="s">
        <v>97</v>
      </c>
    </row>
    <row r="26" spans="1:15" x14ac:dyDescent="0.3">
      <c r="A26" s="11">
        <v>38364</v>
      </c>
      <c r="B26" s="11" t="s">
        <v>22</v>
      </c>
      <c r="C26" s="11" t="s">
        <v>47</v>
      </c>
      <c r="D26" s="11">
        <v>682.74</v>
      </c>
      <c r="E26" s="11">
        <v>32</v>
      </c>
      <c r="F26" s="11">
        <v>21847.68</v>
      </c>
      <c r="G26" s="12">
        <v>45549</v>
      </c>
      <c r="H26" s="12">
        <v>45548</v>
      </c>
      <c r="I26" t="e">
        <f t="shared" si="0"/>
        <v>#NUM!</v>
      </c>
      <c r="N26" s="2" t="s">
        <v>28</v>
      </c>
      <c r="O26" s="2" t="s">
        <v>78</v>
      </c>
    </row>
    <row r="27" spans="1:15" x14ac:dyDescent="0.3">
      <c r="A27" s="11">
        <v>10223</v>
      </c>
      <c r="B27" s="11" t="s">
        <v>20</v>
      </c>
      <c r="C27" s="11" t="s">
        <v>48</v>
      </c>
      <c r="D27" s="11">
        <v>93.68</v>
      </c>
      <c r="E27" s="11">
        <v>11</v>
      </c>
      <c r="F27" s="11">
        <v>1030.48</v>
      </c>
      <c r="G27" s="12">
        <v>45530</v>
      </c>
      <c r="H27" s="12">
        <v>45322</v>
      </c>
      <c r="I27" t="e">
        <f t="shared" si="0"/>
        <v>#NUM!</v>
      </c>
      <c r="N27" s="2" t="s">
        <v>50</v>
      </c>
      <c r="O27" s="2" t="s">
        <v>87</v>
      </c>
    </row>
    <row r="28" spans="1:15" x14ac:dyDescent="0.3">
      <c r="A28" s="11">
        <v>82618</v>
      </c>
      <c r="B28" s="11" t="s">
        <v>13</v>
      </c>
      <c r="C28" s="11" t="s">
        <v>49</v>
      </c>
      <c r="D28" s="11">
        <v>534.77</v>
      </c>
      <c r="E28" s="11">
        <v>39</v>
      </c>
      <c r="F28" s="11">
        <v>20856.03</v>
      </c>
      <c r="G28" s="12">
        <v>45606</v>
      </c>
      <c r="H28" s="12">
        <v>45099</v>
      </c>
      <c r="I28" t="e">
        <f t="shared" si="0"/>
        <v>#NUM!</v>
      </c>
      <c r="N28" s="2" t="s">
        <v>74</v>
      </c>
      <c r="O28" s="2" t="s">
        <v>107</v>
      </c>
    </row>
    <row r="29" spans="1:15" x14ac:dyDescent="0.3">
      <c r="A29" s="11">
        <v>33011</v>
      </c>
      <c r="B29" s="11" t="s">
        <v>9</v>
      </c>
      <c r="C29" s="11" t="s">
        <v>37</v>
      </c>
      <c r="D29" s="11">
        <v>796.94</v>
      </c>
      <c r="E29" s="11">
        <v>35</v>
      </c>
      <c r="F29" s="11">
        <v>27892.9</v>
      </c>
      <c r="G29" s="12">
        <v>45630</v>
      </c>
      <c r="H29" s="12">
        <v>45474</v>
      </c>
      <c r="I29" t="e">
        <f t="shared" si="0"/>
        <v>#NUM!</v>
      </c>
      <c r="N29" s="2" t="s">
        <v>43</v>
      </c>
      <c r="O29" s="2" t="s">
        <v>93</v>
      </c>
    </row>
    <row r="30" spans="1:15" x14ac:dyDescent="0.3">
      <c r="A30" s="11">
        <v>81551</v>
      </c>
      <c r="B30" s="11" t="s">
        <v>13</v>
      </c>
      <c r="C30" s="11" t="s">
        <v>50</v>
      </c>
      <c r="D30" s="11">
        <v>468.95</v>
      </c>
      <c r="E30" s="11">
        <v>14</v>
      </c>
      <c r="F30" s="11">
        <v>6565.3</v>
      </c>
      <c r="G30" s="12">
        <v>45297</v>
      </c>
      <c r="H30" s="12">
        <v>45225</v>
      </c>
      <c r="I30" t="e">
        <f t="shared" si="0"/>
        <v>#NUM!</v>
      </c>
      <c r="N30" s="2" t="s">
        <v>62</v>
      </c>
      <c r="O30" s="2" t="s">
        <v>108</v>
      </c>
    </row>
    <row r="31" spans="1:15" x14ac:dyDescent="0.3">
      <c r="A31" s="11">
        <v>98246</v>
      </c>
      <c r="B31" s="11" t="s">
        <v>11</v>
      </c>
      <c r="C31" s="11" t="s">
        <v>51</v>
      </c>
      <c r="D31" s="11">
        <v>533.15</v>
      </c>
      <c r="E31" s="11">
        <v>19</v>
      </c>
      <c r="F31" s="11">
        <v>10129.85</v>
      </c>
      <c r="G31" s="12">
        <v>45107</v>
      </c>
      <c r="H31" s="12">
        <v>45037</v>
      </c>
      <c r="I31" t="e">
        <f t="shared" si="0"/>
        <v>#NUM!</v>
      </c>
      <c r="N31" s="2" t="s">
        <v>45</v>
      </c>
      <c r="O31" s="2" t="s">
        <v>95</v>
      </c>
    </row>
    <row r="32" spans="1:15" x14ac:dyDescent="0.3">
      <c r="A32" s="11">
        <v>94211</v>
      </c>
      <c r="B32" s="11" t="s">
        <v>12</v>
      </c>
      <c r="C32" s="11" t="s">
        <v>28</v>
      </c>
      <c r="D32" s="11">
        <v>855.99</v>
      </c>
      <c r="E32" s="11">
        <v>9</v>
      </c>
      <c r="F32" s="11">
        <v>7703.91</v>
      </c>
      <c r="G32" s="12">
        <v>45523</v>
      </c>
      <c r="H32" s="12">
        <v>45429</v>
      </c>
      <c r="I32" t="e">
        <f t="shared" si="0"/>
        <v>#NUM!</v>
      </c>
      <c r="N32" s="2" t="s">
        <v>37</v>
      </c>
      <c r="O32" s="2" t="s">
        <v>87</v>
      </c>
    </row>
    <row r="33" spans="1:15" x14ac:dyDescent="0.3">
      <c r="A33" s="11">
        <v>38449</v>
      </c>
      <c r="B33" s="11" t="s">
        <v>13</v>
      </c>
      <c r="C33" s="11" t="s">
        <v>52</v>
      </c>
      <c r="D33" s="11">
        <v>323.73</v>
      </c>
      <c r="E33" s="11">
        <v>15</v>
      </c>
      <c r="F33" s="11">
        <v>4855.95</v>
      </c>
      <c r="G33" s="12">
        <v>45367</v>
      </c>
      <c r="H33" s="12">
        <v>45551</v>
      </c>
      <c r="I33">
        <f t="shared" si="0"/>
        <v>1</v>
      </c>
      <c r="N33" s="2" t="s">
        <v>76</v>
      </c>
      <c r="O33" s="2" t="s">
        <v>88</v>
      </c>
    </row>
    <row r="34" spans="1:15" x14ac:dyDescent="0.3">
      <c r="A34" s="11">
        <v>35521</v>
      </c>
      <c r="B34" s="11" t="s">
        <v>23</v>
      </c>
      <c r="C34" s="11" t="s">
        <v>35</v>
      </c>
      <c r="D34" s="11">
        <v>101.12</v>
      </c>
      <c r="E34" s="11">
        <v>34</v>
      </c>
      <c r="F34" s="11">
        <v>3438.08</v>
      </c>
      <c r="G34" s="12">
        <v>45382</v>
      </c>
      <c r="H34" s="12">
        <v>45486</v>
      </c>
      <c r="I34">
        <f t="shared" si="0"/>
        <v>1</v>
      </c>
      <c r="N34" s="2" t="s">
        <v>29</v>
      </c>
      <c r="O34" s="2" t="s">
        <v>79</v>
      </c>
    </row>
    <row r="35" spans="1:15" x14ac:dyDescent="0.3">
      <c r="A35" s="11">
        <v>96352</v>
      </c>
      <c r="B35" s="11" t="s">
        <v>24</v>
      </c>
      <c r="C35" s="11" t="s">
        <v>53</v>
      </c>
      <c r="D35" s="11">
        <v>972.24</v>
      </c>
      <c r="E35" s="11">
        <v>19</v>
      </c>
      <c r="F35" s="11">
        <v>18472.560000000001</v>
      </c>
      <c r="G35" s="12">
        <v>45319</v>
      </c>
      <c r="H35" s="12">
        <v>45295</v>
      </c>
      <c r="I35" t="e">
        <f t="shared" si="0"/>
        <v>#NUM!</v>
      </c>
      <c r="N35" s="2" t="s">
        <v>64</v>
      </c>
      <c r="O35" s="2" t="s">
        <v>90</v>
      </c>
    </row>
    <row r="36" spans="1:15" x14ac:dyDescent="0.3">
      <c r="A36" s="11">
        <v>76287</v>
      </c>
      <c r="B36" s="11" t="s">
        <v>14</v>
      </c>
      <c r="C36" s="11" t="s">
        <v>54</v>
      </c>
      <c r="D36" s="11">
        <v>730.09</v>
      </c>
      <c r="E36" s="11">
        <v>50</v>
      </c>
      <c r="F36" s="11">
        <v>36504.5</v>
      </c>
      <c r="G36" s="12">
        <v>45503</v>
      </c>
      <c r="H36" s="12">
        <v>45640</v>
      </c>
      <c r="I36">
        <f t="shared" si="0"/>
        <v>1</v>
      </c>
      <c r="N36" s="2" t="s">
        <v>36</v>
      </c>
      <c r="O36" s="2" t="s">
        <v>86</v>
      </c>
    </row>
    <row r="37" spans="1:15" x14ac:dyDescent="0.3">
      <c r="A37" s="11">
        <v>63146</v>
      </c>
      <c r="B37" s="11" t="s">
        <v>11</v>
      </c>
      <c r="C37" s="11" t="s">
        <v>55</v>
      </c>
      <c r="D37" s="11">
        <v>399.32</v>
      </c>
      <c r="E37" s="11">
        <v>22</v>
      </c>
      <c r="F37" s="11">
        <v>8785.0400000000009</v>
      </c>
      <c r="G37" s="12">
        <v>45266</v>
      </c>
      <c r="H37" s="12">
        <v>45020</v>
      </c>
      <c r="I37" t="e">
        <f t="shared" si="0"/>
        <v>#NUM!</v>
      </c>
      <c r="N37" s="2" t="s">
        <v>61</v>
      </c>
      <c r="O37" s="2" t="s">
        <v>107</v>
      </c>
    </row>
    <row r="38" spans="1:15" x14ac:dyDescent="0.3">
      <c r="A38" s="11">
        <v>50128</v>
      </c>
      <c r="B38" s="11" t="s">
        <v>12</v>
      </c>
      <c r="C38" s="11" t="s">
        <v>56</v>
      </c>
      <c r="D38" s="11">
        <v>641.34</v>
      </c>
      <c r="E38" s="11">
        <v>2</v>
      </c>
      <c r="F38" s="11">
        <v>1282.68</v>
      </c>
      <c r="G38" s="12">
        <v>45595</v>
      </c>
      <c r="H38" s="12">
        <v>45625</v>
      </c>
      <c r="I38">
        <f t="shared" si="0"/>
        <v>1</v>
      </c>
      <c r="N38" s="2" t="s">
        <v>30</v>
      </c>
      <c r="O38" s="2" t="s">
        <v>80</v>
      </c>
    </row>
    <row r="39" spans="1:15" x14ac:dyDescent="0.3">
      <c r="A39" s="11">
        <v>68801</v>
      </c>
      <c r="B39" s="11" t="s">
        <v>14</v>
      </c>
      <c r="C39" s="11" t="s">
        <v>57</v>
      </c>
      <c r="D39" s="11">
        <v>404.9</v>
      </c>
      <c r="E39" s="11">
        <v>38</v>
      </c>
      <c r="F39" s="11">
        <v>15386.2</v>
      </c>
      <c r="G39" s="12">
        <v>44976</v>
      </c>
      <c r="H39" s="12">
        <v>45159</v>
      </c>
      <c r="I39">
        <f t="shared" si="0"/>
        <v>1</v>
      </c>
      <c r="N39" s="2" t="s">
        <v>65</v>
      </c>
      <c r="O39" s="2" t="s">
        <v>110</v>
      </c>
    </row>
    <row r="40" spans="1:15" x14ac:dyDescent="0.3">
      <c r="A40" s="11">
        <v>25394</v>
      </c>
      <c r="B40" s="11" t="s">
        <v>16</v>
      </c>
      <c r="C40" s="11" t="s">
        <v>58</v>
      </c>
      <c r="D40" s="11">
        <v>988.73</v>
      </c>
      <c r="E40" s="11">
        <v>31</v>
      </c>
      <c r="F40" s="11">
        <v>30650.63</v>
      </c>
      <c r="G40" s="12">
        <v>45602</v>
      </c>
      <c r="H40" s="12">
        <v>45297</v>
      </c>
      <c r="I40" t="e">
        <f t="shared" si="0"/>
        <v>#NUM!</v>
      </c>
      <c r="N40" s="2" t="s">
        <v>57</v>
      </c>
      <c r="O40" s="2" t="s">
        <v>87</v>
      </c>
    </row>
    <row r="41" spans="1:15" x14ac:dyDescent="0.3">
      <c r="A41" s="11">
        <v>13698</v>
      </c>
      <c r="B41" s="11" t="s">
        <v>25</v>
      </c>
      <c r="C41" s="11" t="s">
        <v>39</v>
      </c>
      <c r="D41" s="11">
        <v>988.47</v>
      </c>
      <c r="E41" s="11">
        <v>47</v>
      </c>
      <c r="F41" s="11">
        <v>46458.09</v>
      </c>
      <c r="G41" s="12">
        <v>45055</v>
      </c>
      <c r="H41" s="12">
        <v>45070</v>
      </c>
      <c r="I41">
        <f t="shared" si="0"/>
        <v>0</v>
      </c>
      <c r="N41" s="2" t="s">
        <v>40</v>
      </c>
      <c r="O41" s="2" t="s">
        <v>90</v>
      </c>
    </row>
    <row r="42" spans="1:15" x14ac:dyDescent="0.3">
      <c r="A42" s="11">
        <v>84141</v>
      </c>
      <c r="B42" s="11" t="s">
        <v>12</v>
      </c>
      <c r="C42" s="11" t="s">
        <v>59</v>
      </c>
      <c r="D42" s="11">
        <v>346.37</v>
      </c>
      <c r="E42" s="11">
        <v>1</v>
      </c>
      <c r="F42" s="11">
        <v>346.37</v>
      </c>
      <c r="G42" s="12">
        <v>45269</v>
      </c>
      <c r="H42" s="12">
        <v>45545</v>
      </c>
      <c r="I42">
        <f t="shared" si="0"/>
        <v>1</v>
      </c>
      <c r="N42" s="2" t="s">
        <v>48</v>
      </c>
      <c r="O42" s="2" t="s">
        <v>98</v>
      </c>
    </row>
    <row r="43" spans="1:15" x14ac:dyDescent="0.3">
      <c r="A43" s="11">
        <v>18797</v>
      </c>
      <c r="B43" s="11" t="s">
        <v>11</v>
      </c>
      <c r="C43" s="11" t="s">
        <v>60</v>
      </c>
      <c r="D43" s="11">
        <v>184.57</v>
      </c>
      <c r="E43" s="11">
        <v>37</v>
      </c>
      <c r="F43" s="11">
        <v>6829.09</v>
      </c>
      <c r="G43" s="12">
        <v>45620</v>
      </c>
      <c r="H43" s="12">
        <v>45347</v>
      </c>
      <c r="I43" t="e">
        <f t="shared" si="0"/>
        <v>#NUM!</v>
      </c>
      <c r="N43" s="2" t="s">
        <v>66</v>
      </c>
      <c r="O43" s="2" t="s">
        <v>93</v>
      </c>
    </row>
    <row r="44" spans="1:15" x14ac:dyDescent="0.3">
      <c r="A44" s="11">
        <v>50408</v>
      </c>
      <c r="B44" s="11" t="s">
        <v>10</v>
      </c>
      <c r="C44" s="11" t="s">
        <v>38</v>
      </c>
      <c r="D44" s="11">
        <v>233.83</v>
      </c>
      <c r="E44" s="11">
        <v>23</v>
      </c>
      <c r="F44" s="11">
        <v>5378.09</v>
      </c>
      <c r="G44" s="12">
        <v>45036</v>
      </c>
      <c r="H44" s="12">
        <v>45312</v>
      </c>
      <c r="I44">
        <f t="shared" si="0"/>
        <v>1</v>
      </c>
      <c r="N44" s="2" t="s">
        <v>34</v>
      </c>
      <c r="O44" s="2" t="s">
        <v>84</v>
      </c>
    </row>
    <row r="45" spans="1:15" x14ac:dyDescent="0.3">
      <c r="A45" s="11">
        <v>80257</v>
      </c>
      <c r="B45" s="11" t="s">
        <v>21</v>
      </c>
      <c r="C45" s="11" t="s">
        <v>58</v>
      </c>
      <c r="D45" s="11">
        <v>988.73</v>
      </c>
      <c r="E45" s="11">
        <v>16</v>
      </c>
      <c r="F45" s="11">
        <v>15819.68</v>
      </c>
      <c r="G45" s="12">
        <v>45528</v>
      </c>
      <c r="H45" s="12">
        <v>45341</v>
      </c>
      <c r="I45" t="e">
        <f t="shared" si="0"/>
        <v>#NUM!</v>
      </c>
      <c r="N45" s="2" t="s">
        <v>35</v>
      </c>
      <c r="O45" s="2" t="s">
        <v>85</v>
      </c>
    </row>
    <row r="46" spans="1:15" x14ac:dyDescent="0.3">
      <c r="A46" s="11">
        <v>77679</v>
      </c>
      <c r="B46" s="11" t="s">
        <v>9</v>
      </c>
      <c r="C46" s="11" t="s">
        <v>61</v>
      </c>
      <c r="D46" s="11">
        <v>705.68</v>
      </c>
      <c r="E46" s="11">
        <v>3</v>
      </c>
      <c r="F46" s="11">
        <v>2117.04</v>
      </c>
      <c r="G46" s="12">
        <v>45295</v>
      </c>
      <c r="H46" s="12">
        <v>45038</v>
      </c>
      <c r="I46" t="e">
        <f t="shared" si="0"/>
        <v>#NUM!</v>
      </c>
      <c r="N46" s="2" t="s">
        <v>39</v>
      </c>
      <c r="O46" s="2" t="s">
        <v>89</v>
      </c>
    </row>
    <row r="47" spans="1:15" x14ac:dyDescent="0.3">
      <c r="A47" s="11">
        <v>49607</v>
      </c>
      <c r="B47" s="11" t="s">
        <v>17</v>
      </c>
      <c r="C47" s="11" t="s">
        <v>54</v>
      </c>
      <c r="D47" s="11">
        <v>730.09</v>
      </c>
      <c r="E47" s="11">
        <v>25</v>
      </c>
      <c r="F47" s="11">
        <v>18252.25</v>
      </c>
      <c r="G47" s="12">
        <v>45208</v>
      </c>
      <c r="H47" s="12">
        <v>45015</v>
      </c>
      <c r="I47" t="e">
        <f t="shared" si="0"/>
        <v>#NUM!</v>
      </c>
      <c r="N47" s="2" t="s">
        <v>44</v>
      </c>
      <c r="O47" s="2" t="s">
        <v>94</v>
      </c>
    </row>
    <row r="48" spans="1:15" x14ac:dyDescent="0.3">
      <c r="A48" s="11">
        <v>50693</v>
      </c>
      <c r="B48" s="11" t="s">
        <v>12</v>
      </c>
      <c r="C48" s="11" t="s">
        <v>48</v>
      </c>
      <c r="D48" s="11">
        <v>93.68</v>
      </c>
      <c r="E48" s="11">
        <v>16</v>
      </c>
      <c r="F48" s="11">
        <v>1498.88</v>
      </c>
      <c r="G48" s="12">
        <v>45519</v>
      </c>
      <c r="H48" s="12">
        <v>45371</v>
      </c>
      <c r="I48" t="e">
        <f t="shared" si="0"/>
        <v>#NUM!</v>
      </c>
      <c r="N48" s="2" t="s">
        <v>32</v>
      </c>
      <c r="O48" s="2" t="s">
        <v>82</v>
      </c>
    </row>
    <row r="49" spans="1:15" x14ac:dyDescent="0.3">
      <c r="A49" s="11">
        <v>67494</v>
      </c>
      <c r="B49" s="11" t="s">
        <v>8</v>
      </c>
      <c r="C49" s="11" t="s">
        <v>62</v>
      </c>
      <c r="D49" s="11">
        <v>474.55</v>
      </c>
      <c r="E49" s="11">
        <v>31</v>
      </c>
      <c r="F49" s="11">
        <v>14711.05</v>
      </c>
      <c r="G49" s="12">
        <v>45549</v>
      </c>
      <c r="H49" s="12">
        <v>45050</v>
      </c>
      <c r="I49" t="e">
        <f t="shared" si="0"/>
        <v>#NUM!</v>
      </c>
      <c r="N49" s="2" t="s">
        <v>38</v>
      </c>
      <c r="O49" s="2" t="s">
        <v>88</v>
      </c>
    </row>
    <row r="50" spans="1:15" x14ac:dyDescent="0.3">
      <c r="A50" s="11">
        <v>37544</v>
      </c>
      <c r="B50" s="11" t="s">
        <v>12</v>
      </c>
      <c r="C50" s="11" t="s">
        <v>35</v>
      </c>
      <c r="D50" s="11">
        <v>101.12</v>
      </c>
      <c r="E50" s="11">
        <v>4</v>
      </c>
      <c r="F50" s="11">
        <v>404.48</v>
      </c>
      <c r="G50" s="12">
        <v>45141</v>
      </c>
      <c r="H50" s="12">
        <v>45017</v>
      </c>
      <c r="I50" t="e">
        <f t="shared" si="0"/>
        <v>#NUM!</v>
      </c>
      <c r="N50" s="2" t="s">
        <v>68</v>
      </c>
      <c r="O50" s="2" t="s">
        <v>112</v>
      </c>
    </row>
    <row r="51" spans="1:15" x14ac:dyDescent="0.3">
      <c r="A51" s="11">
        <v>35281</v>
      </c>
      <c r="B51" s="11" t="s">
        <v>15</v>
      </c>
      <c r="C51" s="11" t="s">
        <v>63</v>
      </c>
      <c r="D51" s="11">
        <v>611.66</v>
      </c>
      <c r="E51" s="11">
        <v>11</v>
      </c>
      <c r="F51" s="11">
        <v>6728.26</v>
      </c>
      <c r="G51" s="12">
        <v>45494</v>
      </c>
      <c r="H51" s="12">
        <v>45373</v>
      </c>
      <c r="I51" t="e">
        <f t="shared" si="0"/>
        <v>#NUM!</v>
      </c>
      <c r="N51" s="2" t="s">
        <v>46</v>
      </c>
      <c r="O51" s="2" t="s">
        <v>96</v>
      </c>
    </row>
    <row r="52" spans="1:15" x14ac:dyDescent="0.3">
      <c r="A52" s="11">
        <v>88767</v>
      </c>
      <c r="B52" s="11" t="s">
        <v>12</v>
      </c>
      <c r="C52" s="11" t="s">
        <v>56</v>
      </c>
      <c r="D52" s="11">
        <v>641.34</v>
      </c>
      <c r="E52" s="11">
        <v>15</v>
      </c>
      <c r="F52" s="11">
        <v>9620.1</v>
      </c>
      <c r="G52" s="12">
        <v>45086</v>
      </c>
      <c r="H52" s="12">
        <v>45390</v>
      </c>
      <c r="I52">
        <f t="shared" si="0"/>
        <v>1</v>
      </c>
      <c r="N52" s="2" t="s">
        <v>73</v>
      </c>
      <c r="O52" s="2" t="s">
        <v>116</v>
      </c>
    </row>
    <row r="53" spans="1:15" x14ac:dyDescent="0.3">
      <c r="A53" s="11">
        <v>26282</v>
      </c>
      <c r="B53" s="11" t="s">
        <v>26</v>
      </c>
      <c r="C53" s="11" t="s">
        <v>56</v>
      </c>
      <c r="D53" s="11">
        <v>641.34</v>
      </c>
      <c r="E53" s="11">
        <v>32</v>
      </c>
      <c r="F53" s="11">
        <v>20522.88</v>
      </c>
      <c r="G53" s="12">
        <v>45051</v>
      </c>
      <c r="H53" s="12">
        <v>45477</v>
      </c>
      <c r="I53">
        <f t="shared" si="0"/>
        <v>1</v>
      </c>
      <c r="N53" t="s">
        <v>56</v>
      </c>
      <c r="O53" t="s">
        <v>88</v>
      </c>
    </row>
    <row r="54" spans="1:15" x14ac:dyDescent="0.3">
      <c r="A54" s="11">
        <v>11554</v>
      </c>
      <c r="B54" s="11" t="s">
        <v>9</v>
      </c>
      <c r="C54" s="11" t="s">
        <v>38</v>
      </c>
      <c r="D54" s="11">
        <v>233.83</v>
      </c>
      <c r="E54" s="11">
        <v>9</v>
      </c>
      <c r="F54" s="11">
        <v>2104.4699999999998</v>
      </c>
      <c r="G54" s="12">
        <v>45014</v>
      </c>
      <c r="H54" s="12">
        <v>45244</v>
      </c>
      <c r="I54">
        <f t="shared" si="0"/>
        <v>1</v>
      </c>
    </row>
    <row r="55" spans="1:15" x14ac:dyDescent="0.3">
      <c r="A55" s="11">
        <v>38707</v>
      </c>
      <c r="B55" s="11" t="s">
        <v>15</v>
      </c>
      <c r="C55" s="11" t="s">
        <v>64</v>
      </c>
      <c r="D55" s="11">
        <v>796.51</v>
      </c>
      <c r="E55" s="11">
        <v>24</v>
      </c>
      <c r="F55" s="11">
        <v>19116.240000000002</v>
      </c>
      <c r="G55" s="12">
        <v>45641</v>
      </c>
      <c r="H55" s="12">
        <v>45549</v>
      </c>
      <c r="I55" t="e">
        <f t="shared" si="0"/>
        <v>#NUM!</v>
      </c>
    </row>
    <row r="56" spans="1:15" x14ac:dyDescent="0.3">
      <c r="A56" s="11">
        <v>97930</v>
      </c>
      <c r="B56" s="11" t="s">
        <v>21</v>
      </c>
      <c r="C56" s="11" t="s">
        <v>65</v>
      </c>
      <c r="D56" s="11">
        <v>753.12</v>
      </c>
      <c r="E56" s="11">
        <v>39</v>
      </c>
      <c r="F56" s="11">
        <v>29371.68</v>
      </c>
      <c r="G56" s="12">
        <v>45330</v>
      </c>
      <c r="H56" s="12">
        <v>45379</v>
      </c>
      <c r="I56">
        <f t="shared" si="0"/>
        <v>1</v>
      </c>
    </row>
    <row r="57" spans="1:15" x14ac:dyDescent="0.3">
      <c r="A57" s="11">
        <v>71505</v>
      </c>
      <c r="B57" s="11" t="s">
        <v>13</v>
      </c>
      <c r="C57" s="11" t="s">
        <v>66</v>
      </c>
      <c r="D57" s="11">
        <v>45.72</v>
      </c>
      <c r="E57" s="11">
        <v>33</v>
      </c>
      <c r="F57" s="11">
        <v>1508.76</v>
      </c>
      <c r="G57" s="12">
        <v>45367</v>
      </c>
      <c r="H57" s="12">
        <v>45543</v>
      </c>
      <c r="I57">
        <f t="shared" si="0"/>
        <v>1</v>
      </c>
    </row>
    <row r="58" spans="1:15" x14ac:dyDescent="0.3">
      <c r="A58" s="11">
        <v>10256</v>
      </c>
      <c r="B58" s="11" t="s">
        <v>27</v>
      </c>
      <c r="C58" s="11" t="s">
        <v>54</v>
      </c>
      <c r="D58" s="11">
        <v>730.09</v>
      </c>
      <c r="E58" s="11">
        <v>50</v>
      </c>
      <c r="F58" s="11">
        <v>36504.5</v>
      </c>
      <c r="G58" s="12">
        <v>45227</v>
      </c>
      <c r="H58" s="12">
        <v>44955</v>
      </c>
      <c r="I58" t="e">
        <f t="shared" si="0"/>
        <v>#NUM!</v>
      </c>
    </row>
    <row r="59" spans="1:15" x14ac:dyDescent="0.3">
      <c r="A59" s="11">
        <v>31798</v>
      </c>
      <c r="B59" s="11" t="s">
        <v>9</v>
      </c>
      <c r="C59" s="11" t="s">
        <v>51</v>
      </c>
      <c r="D59" s="11">
        <v>533.15</v>
      </c>
      <c r="E59" s="11">
        <v>1</v>
      </c>
      <c r="F59" s="11">
        <v>533.15</v>
      </c>
      <c r="G59" s="12">
        <v>45029</v>
      </c>
      <c r="H59" s="12">
        <v>45631</v>
      </c>
      <c r="I59">
        <f t="shared" si="0"/>
        <v>1</v>
      </c>
    </row>
    <row r="60" spans="1:15" x14ac:dyDescent="0.3">
      <c r="A60" s="11">
        <v>99422</v>
      </c>
      <c r="B60" s="11" t="s">
        <v>13</v>
      </c>
      <c r="C60" s="11" t="s">
        <v>67</v>
      </c>
      <c r="D60" s="11">
        <v>402.36</v>
      </c>
      <c r="E60" s="11">
        <v>17</v>
      </c>
      <c r="F60" s="11">
        <v>6840.12</v>
      </c>
      <c r="G60" s="12">
        <v>45222</v>
      </c>
      <c r="H60" s="12">
        <v>45056</v>
      </c>
      <c r="I60" t="e">
        <f t="shared" si="0"/>
        <v>#NUM!</v>
      </c>
    </row>
    <row r="61" spans="1:15" x14ac:dyDescent="0.3">
      <c r="A61" s="11">
        <v>43867</v>
      </c>
      <c r="B61" s="11" t="s">
        <v>21</v>
      </c>
      <c r="C61" s="11" t="s">
        <v>33</v>
      </c>
      <c r="D61" s="11">
        <v>622.16</v>
      </c>
      <c r="E61" s="11">
        <v>6</v>
      </c>
      <c r="F61" s="11">
        <v>3732.96</v>
      </c>
      <c r="G61" s="12">
        <v>45256</v>
      </c>
      <c r="H61" s="12">
        <v>45052</v>
      </c>
      <c r="I61" t="e">
        <f t="shared" si="0"/>
        <v>#NUM!</v>
      </c>
    </row>
    <row r="62" spans="1:15" x14ac:dyDescent="0.3">
      <c r="A62" s="11">
        <v>16737</v>
      </c>
      <c r="B62" s="11" t="s">
        <v>14</v>
      </c>
      <c r="C62" s="11" t="s">
        <v>47</v>
      </c>
      <c r="D62" s="11">
        <v>682.74</v>
      </c>
      <c r="E62" s="11">
        <v>20</v>
      </c>
      <c r="F62" s="11">
        <v>13654.8</v>
      </c>
      <c r="G62" s="12">
        <v>45351</v>
      </c>
      <c r="H62" s="12">
        <v>45157</v>
      </c>
      <c r="I62" t="e">
        <f t="shared" si="0"/>
        <v>#NUM!</v>
      </c>
    </row>
    <row r="63" spans="1:15" x14ac:dyDescent="0.3">
      <c r="A63" s="11">
        <v>76914</v>
      </c>
      <c r="B63" s="11" t="s">
        <v>10</v>
      </c>
      <c r="C63" s="11" t="s">
        <v>42</v>
      </c>
      <c r="D63" s="11">
        <v>112.52</v>
      </c>
      <c r="E63" s="11">
        <v>10</v>
      </c>
      <c r="F63" s="11">
        <v>1125.2</v>
      </c>
      <c r="G63" s="12">
        <v>45493</v>
      </c>
      <c r="H63" s="12">
        <v>45204</v>
      </c>
      <c r="I63" t="e">
        <f t="shared" si="0"/>
        <v>#NUM!</v>
      </c>
    </row>
    <row r="64" spans="1:15" x14ac:dyDescent="0.3">
      <c r="A64" s="11">
        <v>37599</v>
      </c>
      <c r="B64" s="11" t="s">
        <v>12</v>
      </c>
      <c r="C64" s="11" t="s">
        <v>52</v>
      </c>
      <c r="D64" s="11">
        <v>323.73</v>
      </c>
      <c r="E64" s="11">
        <v>36</v>
      </c>
      <c r="F64" s="11">
        <v>11654.28</v>
      </c>
      <c r="G64" s="12">
        <v>45400</v>
      </c>
      <c r="H64" s="12">
        <v>45393</v>
      </c>
      <c r="I64" t="e">
        <f t="shared" si="0"/>
        <v>#NUM!</v>
      </c>
    </row>
    <row r="65" spans="1:9" x14ac:dyDescent="0.3">
      <c r="A65" s="11">
        <v>37765</v>
      </c>
      <c r="B65" s="11" t="s">
        <v>15</v>
      </c>
      <c r="C65" s="11" t="s">
        <v>56</v>
      </c>
      <c r="D65" s="11">
        <v>641.34</v>
      </c>
      <c r="E65" s="11">
        <v>4</v>
      </c>
      <c r="F65" s="11">
        <v>2565.36</v>
      </c>
      <c r="G65" s="12">
        <v>45501</v>
      </c>
      <c r="H65" s="12">
        <v>45267</v>
      </c>
      <c r="I65" t="e">
        <f t="shared" si="0"/>
        <v>#NUM!</v>
      </c>
    </row>
    <row r="66" spans="1:9" x14ac:dyDescent="0.3">
      <c r="A66" s="11">
        <v>13346</v>
      </c>
      <c r="B66" s="11" t="s">
        <v>15</v>
      </c>
      <c r="C66" s="11" t="s">
        <v>32</v>
      </c>
      <c r="D66" s="11">
        <v>546.64</v>
      </c>
      <c r="E66" s="11">
        <v>43</v>
      </c>
      <c r="F66" s="11">
        <v>23505.52</v>
      </c>
      <c r="G66" s="12">
        <v>45001</v>
      </c>
      <c r="H66" s="12">
        <v>45598</v>
      </c>
      <c r="I66">
        <f t="shared" si="0"/>
        <v>1</v>
      </c>
    </row>
    <row r="67" spans="1:9" x14ac:dyDescent="0.3">
      <c r="A67" s="11">
        <v>44639</v>
      </c>
      <c r="B67" s="11" t="s">
        <v>12</v>
      </c>
      <c r="C67" s="11" t="s">
        <v>59</v>
      </c>
      <c r="D67" s="11">
        <v>346.37</v>
      </c>
      <c r="E67" s="11">
        <v>38</v>
      </c>
      <c r="F67" s="11">
        <v>13162.06</v>
      </c>
      <c r="G67" s="12">
        <v>45164</v>
      </c>
      <c r="H67" s="12">
        <v>45427</v>
      </c>
      <c r="I67">
        <f t="shared" ref="I67:I130" si="1">IF(DATEDIF(G67,H67,"d") &gt; 15,1,0)</f>
        <v>1</v>
      </c>
    </row>
    <row r="68" spans="1:9" x14ac:dyDescent="0.3">
      <c r="A68" s="11">
        <v>90942</v>
      </c>
      <c r="B68" s="11" t="s">
        <v>26</v>
      </c>
      <c r="C68" s="11" t="s">
        <v>53</v>
      </c>
      <c r="D68" s="11">
        <v>972.24</v>
      </c>
      <c r="E68" s="11">
        <v>17</v>
      </c>
      <c r="F68" s="11">
        <v>16528.080000000002</v>
      </c>
      <c r="G68" s="12">
        <v>45526</v>
      </c>
      <c r="H68" s="12">
        <v>45310</v>
      </c>
      <c r="I68" t="e">
        <f t="shared" si="1"/>
        <v>#NUM!</v>
      </c>
    </row>
    <row r="69" spans="1:9" x14ac:dyDescent="0.3">
      <c r="A69" s="11">
        <v>61167</v>
      </c>
      <c r="B69" s="11" t="s">
        <v>19</v>
      </c>
      <c r="C69" s="11" t="s">
        <v>53</v>
      </c>
      <c r="D69" s="11">
        <v>972.24</v>
      </c>
      <c r="E69" s="11">
        <v>28</v>
      </c>
      <c r="F69" s="11">
        <v>27222.720000000001</v>
      </c>
      <c r="G69" s="12">
        <v>45338</v>
      </c>
      <c r="H69" s="12">
        <v>45342</v>
      </c>
      <c r="I69">
        <f t="shared" si="1"/>
        <v>0</v>
      </c>
    </row>
    <row r="70" spans="1:9" x14ac:dyDescent="0.3">
      <c r="A70" s="11">
        <v>24459</v>
      </c>
      <c r="B70" s="11" t="s">
        <v>27</v>
      </c>
      <c r="C70" s="11" t="s">
        <v>31</v>
      </c>
      <c r="D70" s="11">
        <v>449.74</v>
      </c>
      <c r="E70" s="11">
        <v>38</v>
      </c>
      <c r="F70" s="11">
        <v>17090.12</v>
      </c>
      <c r="G70" s="12">
        <v>45397</v>
      </c>
      <c r="H70" s="12">
        <v>45405</v>
      </c>
      <c r="I70">
        <f t="shared" si="1"/>
        <v>0</v>
      </c>
    </row>
    <row r="71" spans="1:9" x14ac:dyDescent="0.3">
      <c r="A71" s="11">
        <v>71475</v>
      </c>
      <c r="B71" s="11" t="s">
        <v>17</v>
      </c>
      <c r="C71" s="11" t="s">
        <v>50</v>
      </c>
      <c r="D71" s="11">
        <v>468.95</v>
      </c>
      <c r="E71" s="11">
        <v>16</v>
      </c>
      <c r="F71" s="11">
        <v>7503.2</v>
      </c>
      <c r="G71" s="12">
        <v>45239</v>
      </c>
      <c r="H71" s="12">
        <v>44987</v>
      </c>
      <c r="I71" t="e">
        <f t="shared" si="1"/>
        <v>#NUM!</v>
      </c>
    </row>
    <row r="72" spans="1:9" x14ac:dyDescent="0.3">
      <c r="A72" s="11">
        <v>45858</v>
      </c>
      <c r="B72" s="11" t="s">
        <v>13</v>
      </c>
      <c r="C72" s="11" t="s">
        <v>42</v>
      </c>
      <c r="D72" s="11">
        <v>112.52</v>
      </c>
      <c r="E72" s="11">
        <v>36</v>
      </c>
      <c r="F72" s="11">
        <v>4050.72</v>
      </c>
      <c r="G72" s="12">
        <v>45231</v>
      </c>
      <c r="H72" s="12">
        <v>45295</v>
      </c>
      <c r="I72">
        <f t="shared" si="1"/>
        <v>1</v>
      </c>
    </row>
    <row r="73" spans="1:9" x14ac:dyDescent="0.3">
      <c r="A73" s="11">
        <v>18132</v>
      </c>
      <c r="B73" s="11" t="s">
        <v>17</v>
      </c>
      <c r="C73" s="11" t="s">
        <v>38</v>
      </c>
      <c r="D73" s="11">
        <v>233.83</v>
      </c>
      <c r="E73" s="11">
        <v>19</v>
      </c>
      <c r="F73" s="11">
        <v>4442.7700000000004</v>
      </c>
      <c r="G73" s="12">
        <v>45195</v>
      </c>
      <c r="H73" s="12">
        <v>45317</v>
      </c>
      <c r="I73">
        <f t="shared" si="1"/>
        <v>1</v>
      </c>
    </row>
    <row r="74" spans="1:9" x14ac:dyDescent="0.3">
      <c r="A74" s="11">
        <v>88176</v>
      </c>
      <c r="B74" s="11" t="s">
        <v>23</v>
      </c>
      <c r="C74" s="11" t="s">
        <v>68</v>
      </c>
      <c r="D74" s="11">
        <v>795.19</v>
      </c>
      <c r="E74" s="11">
        <v>16</v>
      </c>
      <c r="F74" s="11">
        <v>12723.04</v>
      </c>
      <c r="G74" s="12">
        <v>45588</v>
      </c>
      <c r="H74" s="12">
        <v>45062</v>
      </c>
      <c r="I74" t="e">
        <f t="shared" si="1"/>
        <v>#NUM!</v>
      </c>
    </row>
    <row r="75" spans="1:9" x14ac:dyDescent="0.3">
      <c r="A75" s="11">
        <v>61558</v>
      </c>
      <c r="B75" s="11" t="s">
        <v>27</v>
      </c>
      <c r="C75" s="11" t="s">
        <v>58</v>
      </c>
      <c r="D75" s="11">
        <v>988.73</v>
      </c>
      <c r="E75" s="11">
        <v>40</v>
      </c>
      <c r="F75" s="11">
        <v>39549.199999999997</v>
      </c>
      <c r="G75" s="12">
        <v>45310</v>
      </c>
      <c r="H75" s="12">
        <v>45264</v>
      </c>
      <c r="I75" t="e">
        <f t="shared" si="1"/>
        <v>#NUM!</v>
      </c>
    </row>
    <row r="76" spans="1:9" x14ac:dyDescent="0.3">
      <c r="A76" s="11">
        <v>67179</v>
      </c>
      <c r="B76" s="11" t="s">
        <v>20</v>
      </c>
      <c r="C76" s="11" t="s">
        <v>44</v>
      </c>
      <c r="D76" s="11">
        <v>654.4</v>
      </c>
      <c r="E76" s="11">
        <v>50</v>
      </c>
      <c r="F76" s="11">
        <v>32720</v>
      </c>
      <c r="G76" s="12">
        <v>45541</v>
      </c>
      <c r="H76" s="12">
        <v>45038</v>
      </c>
      <c r="I76" t="e">
        <f t="shared" si="1"/>
        <v>#NUM!</v>
      </c>
    </row>
    <row r="77" spans="1:9" x14ac:dyDescent="0.3">
      <c r="A77" s="11">
        <v>13723</v>
      </c>
      <c r="B77" s="11" t="s">
        <v>17</v>
      </c>
      <c r="C77" s="11" t="s">
        <v>29</v>
      </c>
      <c r="D77" s="11">
        <v>683.98</v>
      </c>
      <c r="E77" s="11">
        <v>25</v>
      </c>
      <c r="F77" s="11">
        <v>17099.5</v>
      </c>
      <c r="G77" s="12">
        <v>45397</v>
      </c>
      <c r="H77" s="12">
        <v>45485</v>
      </c>
      <c r="I77">
        <f t="shared" si="1"/>
        <v>1</v>
      </c>
    </row>
    <row r="78" spans="1:9" x14ac:dyDescent="0.3">
      <c r="A78" s="11">
        <v>19937</v>
      </c>
      <c r="B78" s="11" t="s">
        <v>24</v>
      </c>
      <c r="C78" s="11" t="s">
        <v>46</v>
      </c>
      <c r="D78" s="11">
        <v>617.33000000000004</v>
      </c>
      <c r="E78" s="11">
        <v>44</v>
      </c>
      <c r="F78" s="11">
        <v>27162.52</v>
      </c>
      <c r="G78" s="12">
        <v>45250</v>
      </c>
      <c r="H78" s="12">
        <v>45507</v>
      </c>
      <c r="I78">
        <f t="shared" si="1"/>
        <v>1</v>
      </c>
    </row>
    <row r="79" spans="1:9" x14ac:dyDescent="0.3">
      <c r="A79" s="11">
        <v>43021</v>
      </c>
      <c r="B79" s="11" t="s">
        <v>14</v>
      </c>
      <c r="C79" s="11" t="s">
        <v>65</v>
      </c>
      <c r="D79" s="11">
        <v>753.12</v>
      </c>
      <c r="E79" s="11">
        <v>37</v>
      </c>
      <c r="F79" s="11">
        <v>27865.439999999999</v>
      </c>
      <c r="G79" s="12">
        <v>45568</v>
      </c>
      <c r="H79" s="12">
        <v>45107</v>
      </c>
      <c r="I79" t="e">
        <f t="shared" si="1"/>
        <v>#NUM!</v>
      </c>
    </row>
    <row r="80" spans="1:9" x14ac:dyDescent="0.3">
      <c r="A80" s="11">
        <v>41471</v>
      </c>
      <c r="B80" s="11" t="s">
        <v>15</v>
      </c>
      <c r="C80" s="11" t="s">
        <v>69</v>
      </c>
      <c r="D80" s="11">
        <v>158.66999999999999</v>
      </c>
      <c r="E80" s="11">
        <v>43</v>
      </c>
      <c r="F80" s="11">
        <v>6822.81</v>
      </c>
      <c r="G80" s="12">
        <v>45644</v>
      </c>
      <c r="H80" s="12">
        <v>45476</v>
      </c>
      <c r="I80" t="e">
        <f t="shared" si="1"/>
        <v>#NUM!</v>
      </c>
    </row>
    <row r="81" spans="1:9" x14ac:dyDescent="0.3">
      <c r="A81" s="11">
        <v>32665</v>
      </c>
      <c r="B81" s="11" t="s">
        <v>10</v>
      </c>
      <c r="C81" s="11" t="s">
        <v>69</v>
      </c>
      <c r="D81" s="11">
        <v>158.66999999999999</v>
      </c>
      <c r="E81" s="11">
        <v>8</v>
      </c>
      <c r="F81" s="11">
        <v>1269.3599999999999</v>
      </c>
      <c r="G81" s="12">
        <v>45514</v>
      </c>
      <c r="H81" s="12">
        <v>45355</v>
      </c>
      <c r="I81" t="e">
        <f t="shared" si="1"/>
        <v>#NUM!</v>
      </c>
    </row>
    <row r="82" spans="1:9" x14ac:dyDescent="0.3">
      <c r="A82" s="11">
        <v>74747</v>
      </c>
      <c r="B82" s="11" t="s">
        <v>18</v>
      </c>
      <c r="C82" s="11" t="s">
        <v>54</v>
      </c>
      <c r="D82" s="11">
        <v>730.09</v>
      </c>
      <c r="E82" s="11">
        <v>30</v>
      </c>
      <c r="F82" s="11">
        <v>21902.7</v>
      </c>
      <c r="G82" s="12">
        <v>45475</v>
      </c>
      <c r="H82" s="12">
        <v>45528</v>
      </c>
      <c r="I82">
        <f t="shared" si="1"/>
        <v>1</v>
      </c>
    </row>
    <row r="83" spans="1:9" x14ac:dyDescent="0.3">
      <c r="A83" s="11">
        <v>23707</v>
      </c>
      <c r="B83" s="11" t="s">
        <v>24</v>
      </c>
      <c r="C83" s="11" t="s">
        <v>41</v>
      </c>
      <c r="D83" s="11">
        <v>110.41</v>
      </c>
      <c r="E83" s="11">
        <v>17</v>
      </c>
      <c r="F83" s="11">
        <v>1876.97</v>
      </c>
      <c r="G83" s="12">
        <v>45634</v>
      </c>
      <c r="H83" s="12">
        <v>45523</v>
      </c>
      <c r="I83" t="e">
        <f t="shared" si="1"/>
        <v>#NUM!</v>
      </c>
    </row>
    <row r="84" spans="1:9" x14ac:dyDescent="0.3">
      <c r="A84" s="11">
        <v>63963</v>
      </c>
      <c r="B84" s="11" t="s">
        <v>15</v>
      </c>
      <c r="C84" s="11" t="s">
        <v>64</v>
      </c>
      <c r="D84" s="11">
        <v>796.51</v>
      </c>
      <c r="E84" s="11">
        <v>15</v>
      </c>
      <c r="F84" s="11">
        <v>11947.65</v>
      </c>
      <c r="G84" s="12">
        <v>45662</v>
      </c>
      <c r="H84" s="12">
        <v>45341</v>
      </c>
      <c r="I84" t="e">
        <f t="shared" si="1"/>
        <v>#NUM!</v>
      </c>
    </row>
    <row r="85" spans="1:9" x14ac:dyDescent="0.3">
      <c r="A85" s="11">
        <v>22078</v>
      </c>
      <c r="B85" s="11" t="s">
        <v>20</v>
      </c>
      <c r="C85" s="11" t="s">
        <v>35</v>
      </c>
      <c r="D85" s="11">
        <v>101.12</v>
      </c>
      <c r="E85" s="11">
        <v>7</v>
      </c>
      <c r="F85" s="11">
        <v>707.84</v>
      </c>
      <c r="G85" s="12">
        <v>45335</v>
      </c>
      <c r="H85" s="12">
        <v>44990</v>
      </c>
      <c r="I85" t="e">
        <f t="shared" si="1"/>
        <v>#NUM!</v>
      </c>
    </row>
    <row r="86" spans="1:9" x14ac:dyDescent="0.3">
      <c r="A86" s="11">
        <v>19200</v>
      </c>
      <c r="B86" s="11" t="s">
        <v>21</v>
      </c>
      <c r="C86" s="11" t="s">
        <v>40</v>
      </c>
      <c r="D86" s="11">
        <v>875.47</v>
      </c>
      <c r="E86" s="11">
        <v>3</v>
      </c>
      <c r="F86" s="11">
        <v>2626.41</v>
      </c>
      <c r="G86" s="12">
        <v>45194</v>
      </c>
      <c r="H86" s="12">
        <v>45518</v>
      </c>
      <c r="I86">
        <f t="shared" si="1"/>
        <v>1</v>
      </c>
    </row>
    <row r="87" spans="1:9" x14ac:dyDescent="0.3">
      <c r="A87" s="11">
        <v>48448</v>
      </c>
      <c r="B87" s="11" t="s">
        <v>21</v>
      </c>
      <c r="C87" s="11" t="s">
        <v>70</v>
      </c>
      <c r="D87" s="11">
        <v>430.1</v>
      </c>
      <c r="E87" s="11">
        <v>10</v>
      </c>
      <c r="F87" s="11">
        <v>4301</v>
      </c>
      <c r="G87" s="12">
        <v>45046</v>
      </c>
      <c r="H87" s="12">
        <v>45022</v>
      </c>
      <c r="I87" t="e">
        <f t="shared" si="1"/>
        <v>#NUM!</v>
      </c>
    </row>
    <row r="88" spans="1:9" x14ac:dyDescent="0.3">
      <c r="A88" s="11">
        <v>47525</v>
      </c>
      <c r="B88" s="11" t="s">
        <v>21</v>
      </c>
      <c r="C88" s="11" t="s">
        <v>37</v>
      </c>
      <c r="D88" s="11">
        <v>796.94</v>
      </c>
      <c r="E88" s="11">
        <v>17</v>
      </c>
      <c r="F88" s="11">
        <v>13547.98</v>
      </c>
      <c r="G88" s="12">
        <v>45231</v>
      </c>
      <c r="H88" s="12">
        <v>45328</v>
      </c>
      <c r="I88">
        <f t="shared" si="1"/>
        <v>1</v>
      </c>
    </row>
    <row r="89" spans="1:9" x14ac:dyDescent="0.3">
      <c r="A89" s="11">
        <v>55618</v>
      </c>
      <c r="B89" s="11" t="s">
        <v>10</v>
      </c>
      <c r="C89" s="11" t="s">
        <v>65</v>
      </c>
      <c r="D89" s="11">
        <v>753.12</v>
      </c>
      <c r="E89" s="11">
        <v>19</v>
      </c>
      <c r="F89" s="11">
        <v>14309.28</v>
      </c>
      <c r="G89" s="12">
        <v>44959</v>
      </c>
      <c r="H89" s="12">
        <v>45542</v>
      </c>
      <c r="I89">
        <f t="shared" si="1"/>
        <v>1</v>
      </c>
    </row>
    <row r="90" spans="1:9" x14ac:dyDescent="0.3">
      <c r="A90" s="11">
        <v>90685</v>
      </c>
      <c r="B90" s="11" t="s">
        <v>20</v>
      </c>
      <c r="C90" s="11" t="s">
        <v>50</v>
      </c>
      <c r="D90" s="11">
        <v>468.95</v>
      </c>
      <c r="E90" s="11">
        <v>32</v>
      </c>
      <c r="F90" s="11">
        <v>15006.4</v>
      </c>
      <c r="G90" s="12">
        <v>45102</v>
      </c>
      <c r="H90" s="12">
        <v>45055</v>
      </c>
      <c r="I90" t="e">
        <f t="shared" si="1"/>
        <v>#NUM!</v>
      </c>
    </row>
    <row r="91" spans="1:9" x14ac:dyDescent="0.3">
      <c r="A91" s="11">
        <v>46153</v>
      </c>
      <c r="B91" s="11" t="s">
        <v>25</v>
      </c>
      <c r="C91" s="11" t="s">
        <v>57</v>
      </c>
      <c r="D91" s="11">
        <v>404.9</v>
      </c>
      <c r="E91" s="11">
        <v>45</v>
      </c>
      <c r="F91" s="11">
        <v>18220.5</v>
      </c>
      <c r="G91" s="12">
        <v>45439</v>
      </c>
      <c r="H91" s="12">
        <v>45280</v>
      </c>
      <c r="I91" t="e">
        <f t="shared" si="1"/>
        <v>#NUM!</v>
      </c>
    </row>
    <row r="92" spans="1:9" x14ac:dyDescent="0.3">
      <c r="A92" s="11">
        <v>63352</v>
      </c>
      <c r="B92" s="11" t="s">
        <v>25</v>
      </c>
      <c r="C92" s="11" t="s">
        <v>54</v>
      </c>
      <c r="D92" s="11">
        <v>730.09</v>
      </c>
      <c r="E92" s="11">
        <v>44</v>
      </c>
      <c r="F92" s="11">
        <v>32123.96</v>
      </c>
      <c r="G92" s="12">
        <v>45565</v>
      </c>
      <c r="H92" s="12">
        <v>45610</v>
      </c>
      <c r="I92">
        <f t="shared" si="1"/>
        <v>1</v>
      </c>
    </row>
    <row r="93" spans="1:9" x14ac:dyDescent="0.3">
      <c r="A93" s="11">
        <v>58526</v>
      </c>
      <c r="B93" s="11" t="s">
        <v>13</v>
      </c>
      <c r="C93" s="11" t="s">
        <v>45</v>
      </c>
      <c r="D93" s="11">
        <v>366.3</v>
      </c>
      <c r="E93" s="11">
        <v>40</v>
      </c>
      <c r="F93" s="11">
        <v>14652</v>
      </c>
      <c r="G93" s="12">
        <v>45213</v>
      </c>
      <c r="H93" s="12">
        <v>45320</v>
      </c>
      <c r="I93">
        <f t="shared" si="1"/>
        <v>1</v>
      </c>
    </row>
    <row r="94" spans="1:9" x14ac:dyDescent="0.3">
      <c r="A94" s="11">
        <v>46007</v>
      </c>
      <c r="B94" s="11" t="s">
        <v>13</v>
      </c>
      <c r="C94" s="11" t="s">
        <v>29</v>
      </c>
      <c r="D94" s="11">
        <v>683.98</v>
      </c>
      <c r="E94" s="11">
        <v>19</v>
      </c>
      <c r="F94" s="11">
        <v>12995.62</v>
      </c>
      <c r="G94" s="12">
        <v>45462</v>
      </c>
      <c r="H94" s="12">
        <v>45596</v>
      </c>
      <c r="I94">
        <f t="shared" si="1"/>
        <v>1</v>
      </c>
    </row>
    <row r="95" spans="1:9" x14ac:dyDescent="0.3">
      <c r="A95" s="11">
        <v>79070</v>
      </c>
      <c r="B95" s="11" t="s">
        <v>8</v>
      </c>
      <c r="C95" s="11" t="s">
        <v>69</v>
      </c>
      <c r="D95" s="11">
        <v>158.66999999999999</v>
      </c>
      <c r="E95" s="11">
        <v>9</v>
      </c>
      <c r="F95" s="11">
        <v>1428.03</v>
      </c>
      <c r="G95" s="12">
        <v>45008</v>
      </c>
      <c r="H95" s="12">
        <v>45083</v>
      </c>
      <c r="I95">
        <f t="shared" si="1"/>
        <v>1</v>
      </c>
    </row>
    <row r="96" spans="1:9" x14ac:dyDescent="0.3">
      <c r="A96" s="11">
        <v>60220</v>
      </c>
      <c r="B96" s="11" t="s">
        <v>26</v>
      </c>
      <c r="C96" s="11" t="s">
        <v>45</v>
      </c>
      <c r="D96" s="11">
        <v>366.3</v>
      </c>
      <c r="E96" s="11">
        <v>6</v>
      </c>
      <c r="F96" s="11">
        <v>2197.8000000000002</v>
      </c>
      <c r="G96" s="12">
        <v>45454</v>
      </c>
      <c r="H96" s="12">
        <v>45211</v>
      </c>
      <c r="I96" t="e">
        <f t="shared" si="1"/>
        <v>#NUM!</v>
      </c>
    </row>
    <row r="97" spans="1:9" x14ac:dyDescent="0.3">
      <c r="A97" s="11">
        <v>77567</v>
      </c>
      <c r="B97" s="11" t="s">
        <v>11</v>
      </c>
      <c r="C97" s="11" t="s">
        <v>71</v>
      </c>
      <c r="D97" s="11">
        <v>870.6</v>
      </c>
      <c r="E97" s="11">
        <v>26</v>
      </c>
      <c r="F97" s="11">
        <v>22635.599999999999</v>
      </c>
      <c r="G97" s="12">
        <v>45254</v>
      </c>
      <c r="H97" s="12">
        <v>45143</v>
      </c>
      <c r="I97" t="e">
        <f t="shared" si="1"/>
        <v>#NUM!</v>
      </c>
    </row>
    <row r="98" spans="1:9" x14ac:dyDescent="0.3">
      <c r="A98" s="11">
        <v>43543</v>
      </c>
      <c r="B98" s="11" t="s">
        <v>23</v>
      </c>
      <c r="C98" s="11" t="s">
        <v>62</v>
      </c>
      <c r="D98" s="11">
        <v>474.55</v>
      </c>
      <c r="E98" s="11">
        <v>49</v>
      </c>
      <c r="F98" s="11">
        <v>23252.95</v>
      </c>
      <c r="G98" s="12">
        <v>44971</v>
      </c>
      <c r="H98" s="12">
        <v>45379</v>
      </c>
      <c r="I98">
        <f t="shared" si="1"/>
        <v>1</v>
      </c>
    </row>
    <row r="99" spans="1:9" x14ac:dyDescent="0.3">
      <c r="A99" s="11">
        <v>67179</v>
      </c>
      <c r="B99" s="11" t="s">
        <v>12</v>
      </c>
      <c r="C99" s="11" t="s">
        <v>61</v>
      </c>
      <c r="D99" s="11">
        <v>705.68</v>
      </c>
      <c r="E99" s="11">
        <v>5</v>
      </c>
      <c r="F99" s="11">
        <v>3528.4</v>
      </c>
      <c r="G99" s="12">
        <v>45236</v>
      </c>
      <c r="H99" s="12">
        <v>45205</v>
      </c>
      <c r="I99" t="e">
        <f t="shared" si="1"/>
        <v>#NUM!</v>
      </c>
    </row>
    <row r="100" spans="1:9" x14ac:dyDescent="0.3">
      <c r="A100" s="11">
        <v>78842</v>
      </c>
      <c r="B100" s="11" t="s">
        <v>16</v>
      </c>
      <c r="C100" s="11" t="s">
        <v>72</v>
      </c>
      <c r="D100" s="11">
        <v>913.18</v>
      </c>
      <c r="E100" s="11">
        <v>27</v>
      </c>
      <c r="F100" s="11">
        <v>24655.86</v>
      </c>
      <c r="G100" s="12">
        <v>45115</v>
      </c>
      <c r="H100" s="12">
        <v>45609</v>
      </c>
      <c r="I100">
        <f t="shared" si="1"/>
        <v>1</v>
      </c>
    </row>
    <row r="101" spans="1:9" x14ac:dyDescent="0.3">
      <c r="A101" s="11">
        <v>38213</v>
      </c>
      <c r="B101" s="11" t="s">
        <v>17</v>
      </c>
      <c r="C101" s="11" t="s">
        <v>60</v>
      </c>
      <c r="D101" s="11">
        <v>184.57</v>
      </c>
      <c r="E101" s="11">
        <v>19</v>
      </c>
      <c r="F101" s="11">
        <v>3506.83</v>
      </c>
      <c r="G101" s="12">
        <v>45377</v>
      </c>
      <c r="H101" s="12">
        <v>45322</v>
      </c>
      <c r="I101" t="e">
        <f t="shared" si="1"/>
        <v>#NUM!</v>
      </c>
    </row>
    <row r="102" spans="1:9" x14ac:dyDescent="0.3">
      <c r="A102" s="11">
        <v>14696</v>
      </c>
      <c r="B102" s="11" t="s">
        <v>13</v>
      </c>
      <c r="C102" s="11" t="s">
        <v>33</v>
      </c>
      <c r="D102" s="11">
        <v>622.16</v>
      </c>
      <c r="E102" s="11">
        <v>28</v>
      </c>
      <c r="F102" s="11">
        <v>17420.48</v>
      </c>
      <c r="G102" s="12">
        <v>45282</v>
      </c>
      <c r="H102" s="12">
        <v>45469</v>
      </c>
      <c r="I102">
        <f t="shared" si="1"/>
        <v>1</v>
      </c>
    </row>
    <row r="103" spans="1:9" x14ac:dyDescent="0.3">
      <c r="A103" s="11">
        <v>97834</v>
      </c>
      <c r="B103" s="11" t="s">
        <v>9</v>
      </c>
      <c r="C103" s="11" t="s">
        <v>60</v>
      </c>
      <c r="D103" s="11">
        <v>184.57</v>
      </c>
      <c r="E103" s="11">
        <v>10</v>
      </c>
      <c r="F103" s="11">
        <v>1845.7</v>
      </c>
      <c r="G103" s="12">
        <v>45073</v>
      </c>
      <c r="H103" s="12">
        <v>45520</v>
      </c>
      <c r="I103">
        <f t="shared" si="1"/>
        <v>1</v>
      </c>
    </row>
    <row r="104" spans="1:9" x14ac:dyDescent="0.3">
      <c r="A104" s="11">
        <v>45502</v>
      </c>
      <c r="B104" s="11" t="s">
        <v>21</v>
      </c>
      <c r="C104" s="11" t="s">
        <v>38</v>
      </c>
      <c r="D104" s="11">
        <v>233.83</v>
      </c>
      <c r="E104" s="11">
        <v>6</v>
      </c>
      <c r="F104" s="11">
        <v>1402.98</v>
      </c>
      <c r="G104" s="12">
        <v>45267</v>
      </c>
      <c r="H104" s="12">
        <v>45226</v>
      </c>
      <c r="I104" t="e">
        <f t="shared" si="1"/>
        <v>#NUM!</v>
      </c>
    </row>
    <row r="105" spans="1:9" x14ac:dyDescent="0.3">
      <c r="A105" s="11">
        <v>39561</v>
      </c>
      <c r="B105" s="11" t="s">
        <v>10</v>
      </c>
      <c r="C105" s="11" t="s">
        <v>28</v>
      </c>
      <c r="D105" s="11">
        <v>855.99</v>
      </c>
      <c r="E105" s="11">
        <v>12</v>
      </c>
      <c r="F105" s="11">
        <v>10271.879999999999</v>
      </c>
      <c r="G105" s="12">
        <v>45047</v>
      </c>
      <c r="H105" s="12">
        <v>45334</v>
      </c>
      <c r="I105">
        <f t="shared" si="1"/>
        <v>1</v>
      </c>
    </row>
    <row r="106" spans="1:9" x14ac:dyDescent="0.3">
      <c r="A106" s="11">
        <v>92514</v>
      </c>
      <c r="B106" s="11" t="s">
        <v>23</v>
      </c>
      <c r="C106" s="11" t="s">
        <v>62</v>
      </c>
      <c r="D106" s="11">
        <v>474.55</v>
      </c>
      <c r="E106" s="11">
        <v>5</v>
      </c>
      <c r="F106" s="11">
        <v>2372.75</v>
      </c>
      <c r="G106" s="12">
        <v>44974</v>
      </c>
      <c r="H106" s="12">
        <v>45210</v>
      </c>
      <c r="I106">
        <f t="shared" si="1"/>
        <v>1</v>
      </c>
    </row>
    <row r="107" spans="1:9" x14ac:dyDescent="0.3">
      <c r="A107" s="11">
        <v>65497</v>
      </c>
      <c r="B107" s="11" t="s">
        <v>15</v>
      </c>
      <c r="C107" s="11" t="s">
        <v>36</v>
      </c>
      <c r="D107" s="11">
        <v>596.97</v>
      </c>
      <c r="E107" s="11">
        <v>15</v>
      </c>
      <c r="F107" s="11">
        <v>8954.5499999999993</v>
      </c>
      <c r="G107" s="12">
        <v>45503</v>
      </c>
      <c r="H107" s="12">
        <v>45338</v>
      </c>
      <c r="I107" t="e">
        <f t="shared" si="1"/>
        <v>#NUM!</v>
      </c>
    </row>
    <row r="108" spans="1:9" x14ac:dyDescent="0.3">
      <c r="A108" s="11">
        <v>42358</v>
      </c>
      <c r="B108" s="11" t="s">
        <v>9</v>
      </c>
      <c r="C108" s="11" t="s">
        <v>40</v>
      </c>
      <c r="D108" s="11">
        <v>875.47</v>
      </c>
      <c r="E108" s="11">
        <v>41</v>
      </c>
      <c r="F108" s="11">
        <v>35894.269999999997</v>
      </c>
      <c r="G108" s="12">
        <v>45663</v>
      </c>
      <c r="H108" s="12">
        <v>45401</v>
      </c>
      <c r="I108" t="e">
        <f t="shared" si="1"/>
        <v>#NUM!</v>
      </c>
    </row>
    <row r="109" spans="1:9" x14ac:dyDescent="0.3">
      <c r="A109" s="11">
        <v>35653</v>
      </c>
      <c r="B109" s="11" t="s">
        <v>16</v>
      </c>
      <c r="C109" s="11" t="s">
        <v>61</v>
      </c>
      <c r="D109" s="11">
        <v>705.68</v>
      </c>
      <c r="E109" s="11">
        <v>9</v>
      </c>
      <c r="F109" s="11">
        <v>6351.12</v>
      </c>
      <c r="G109" s="12">
        <v>45342</v>
      </c>
      <c r="H109" s="12">
        <v>45324</v>
      </c>
      <c r="I109" t="e">
        <f t="shared" si="1"/>
        <v>#NUM!</v>
      </c>
    </row>
    <row r="110" spans="1:9" x14ac:dyDescent="0.3">
      <c r="A110" s="11">
        <v>66632</v>
      </c>
      <c r="B110" s="11" t="s">
        <v>19</v>
      </c>
      <c r="C110" s="11" t="s">
        <v>36</v>
      </c>
      <c r="D110" s="11">
        <v>596.97</v>
      </c>
      <c r="E110" s="11">
        <v>25</v>
      </c>
      <c r="F110" s="11">
        <v>14924.25</v>
      </c>
      <c r="G110" s="12">
        <v>45349</v>
      </c>
      <c r="H110" s="12">
        <v>45553</v>
      </c>
      <c r="I110">
        <f t="shared" si="1"/>
        <v>1</v>
      </c>
    </row>
    <row r="111" spans="1:9" x14ac:dyDescent="0.3">
      <c r="A111" s="11">
        <v>56922</v>
      </c>
      <c r="B111" s="11" t="s">
        <v>21</v>
      </c>
      <c r="C111" s="11" t="s">
        <v>51</v>
      </c>
      <c r="D111" s="11">
        <v>533.15</v>
      </c>
      <c r="E111" s="11">
        <v>49</v>
      </c>
      <c r="F111" s="11">
        <v>26124.35</v>
      </c>
      <c r="G111" s="12">
        <v>45159</v>
      </c>
      <c r="H111" s="12">
        <v>45447</v>
      </c>
      <c r="I111">
        <f t="shared" si="1"/>
        <v>1</v>
      </c>
    </row>
    <row r="112" spans="1:9" x14ac:dyDescent="0.3">
      <c r="A112" s="11">
        <v>42547</v>
      </c>
      <c r="B112" s="11" t="s">
        <v>13</v>
      </c>
      <c r="C112" s="11" t="s">
        <v>30</v>
      </c>
      <c r="D112" s="11">
        <v>68.05</v>
      </c>
      <c r="E112" s="11">
        <v>2</v>
      </c>
      <c r="F112" s="11">
        <v>136.1</v>
      </c>
      <c r="G112" s="12">
        <v>45528</v>
      </c>
      <c r="H112" s="12">
        <v>44992</v>
      </c>
      <c r="I112" t="e">
        <f t="shared" si="1"/>
        <v>#NUM!</v>
      </c>
    </row>
    <row r="113" spans="1:9" x14ac:dyDescent="0.3">
      <c r="A113" s="11">
        <v>45883</v>
      </c>
      <c r="B113" s="11" t="s">
        <v>18</v>
      </c>
      <c r="C113" s="11" t="s">
        <v>35</v>
      </c>
      <c r="D113" s="11">
        <v>101.12</v>
      </c>
      <c r="E113" s="11">
        <v>27</v>
      </c>
      <c r="F113" s="11">
        <v>2730.24</v>
      </c>
      <c r="G113" s="12">
        <v>45433</v>
      </c>
      <c r="H113" s="12">
        <v>45624</v>
      </c>
      <c r="I113">
        <f t="shared" si="1"/>
        <v>1</v>
      </c>
    </row>
    <row r="114" spans="1:9" x14ac:dyDescent="0.3">
      <c r="A114" s="11">
        <v>83528</v>
      </c>
      <c r="B114" s="11" t="s">
        <v>13</v>
      </c>
      <c r="C114" s="11" t="s">
        <v>50</v>
      </c>
      <c r="D114" s="11">
        <v>468.95</v>
      </c>
      <c r="E114" s="11">
        <v>4</v>
      </c>
      <c r="F114" s="11">
        <v>1875.8</v>
      </c>
      <c r="G114" s="12">
        <v>45060</v>
      </c>
      <c r="H114" s="12">
        <v>45464</v>
      </c>
      <c r="I114">
        <f t="shared" si="1"/>
        <v>1</v>
      </c>
    </row>
    <row r="115" spans="1:9" x14ac:dyDescent="0.3">
      <c r="A115" s="11">
        <v>82836</v>
      </c>
      <c r="B115" s="11" t="s">
        <v>24</v>
      </c>
      <c r="C115" s="11" t="s">
        <v>41</v>
      </c>
      <c r="D115" s="11">
        <v>110.41</v>
      </c>
      <c r="E115" s="11">
        <v>1</v>
      </c>
      <c r="F115" s="11">
        <v>110.41</v>
      </c>
      <c r="G115" s="12">
        <v>45597</v>
      </c>
      <c r="H115" s="12">
        <v>45257</v>
      </c>
      <c r="I115" t="e">
        <f t="shared" si="1"/>
        <v>#NUM!</v>
      </c>
    </row>
    <row r="116" spans="1:9" x14ac:dyDescent="0.3">
      <c r="A116" s="11">
        <v>73583</v>
      </c>
      <c r="B116" s="11" t="s">
        <v>19</v>
      </c>
      <c r="C116" s="11" t="s">
        <v>30</v>
      </c>
      <c r="D116" s="11">
        <v>68.05</v>
      </c>
      <c r="E116" s="11">
        <v>6</v>
      </c>
      <c r="F116" s="11">
        <v>408.3</v>
      </c>
      <c r="G116" s="12">
        <v>45626</v>
      </c>
      <c r="H116" s="12">
        <v>45207</v>
      </c>
      <c r="I116" t="e">
        <f t="shared" si="1"/>
        <v>#NUM!</v>
      </c>
    </row>
    <row r="117" spans="1:9" x14ac:dyDescent="0.3">
      <c r="A117" s="11">
        <v>83314</v>
      </c>
      <c r="B117" s="11" t="s">
        <v>22</v>
      </c>
      <c r="C117" s="11" t="s">
        <v>42</v>
      </c>
      <c r="D117" s="11">
        <v>112.52</v>
      </c>
      <c r="E117" s="11">
        <v>18</v>
      </c>
      <c r="F117" s="11">
        <v>2025.36</v>
      </c>
      <c r="G117" s="12">
        <v>45096</v>
      </c>
      <c r="H117" s="12">
        <v>44947</v>
      </c>
      <c r="I117" t="e">
        <f t="shared" si="1"/>
        <v>#NUM!</v>
      </c>
    </row>
    <row r="118" spans="1:9" x14ac:dyDescent="0.3">
      <c r="A118" s="11">
        <v>43955</v>
      </c>
      <c r="B118" s="11" t="s">
        <v>23</v>
      </c>
      <c r="C118" s="11" t="s">
        <v>34</v>
      </c>
      <c r="D118" s="11">
        <v>222.47</v>
      </c>
      <c r="E118" s="11">
        <v>1</v>
      </c>
      <c r="F118" s="11">
        <v>222.47</v>
      </c>
      <c r="G118" s="12">
        <v>45484</v>
      </c>
      <c r="H118" s="12">
        <v>45075</v>
      </c>
      <c r="I118" t="e">
        <f t="shared" si="1"/>
        <v>#NUM!</v>
      </c>
    </row>
    <row r="119" spans="1:9" x14ac:dyDescent="0.3">
      <c r="A119" s="11">
        <v>96803</v>
      </c>
      <c r="B119" s="11" t="s">
        <v>19</v>
      </c>
      <c r="C119" s="11" t="s">
        <v>54</v>
      </c>
      <c r="D119" s="11">
        <v>730.09</v>
      </c>
      <c r="E119" s="11">
        <v>40</v>
      </c>
      <c r="F119" s="11">
        <v>29203.599999999999</v>
      </c>
      <c r="G119" s="12">
        <v>45071</v>
      </c>
      <c r="H119" s="12">
        <v>45437</v>
      </c>
      <c r="I119">
        <f t="shared" si="1"/>
        <v>1</v>
      </c>
    </row>
    <row r="120" spans="1:9" x14ac:dyDescent="0.3">
      <c r="A120" s="11">
        <v>70090</v>
      </c>
      <c r="B120" s="11" t="s">
        <v>15</v>
      </c>
      <c r="C120" s="11" t="s">
        <v>46</v>
      </c>
      <c r="D120" s="11">
        <v>617.33000000000004</v>
      </c>
      <c r="E120" s="11">
        <v>21</v>
      </c>
      <c r="F120" s="11">
        <v>12963.93</v>
      </c>
      <c r="G120" s="12">
        <v>45122</v>
      </c>
      <c r="H120" s="12">
        <v>45256</v>
      </c>
      <c r="I120">
        <f t="shared" si="1"/>
        <v>1</v>
      </c>
    </row>
    <row r="121" spans="1:9" x14ac:dyDescent="0.3">
      <c r="A121" s="11">
        <v>95005</v>
      </c>
      <c r="B121" s="11" t="s">
        <v>19</v>
      </c>
      <c r="C121" s="11" t="s">
        <v>52</v>
      </c>
      <c r="D121" s="11">
        <v>323.73</v>
      </c>
      <c r="E121" s="11">
        <v>10</v>
      </c>
      <c r="F121" s="11">
        <v>3237.3</v>
      </c>
      <c r="G121" s="12">
        <v>45347</v>
      </c>
      <c r="H121" s="12">
        <v>45117</v>
      </c>
      <c r="I121" t="e">
        <f t="shared" si="1"/>
        <v>#NUM!</v>
      </c>
    </row>
    <row r="122" spans="1:9" x14ac:dyDescent="0.3">
      <c r="A122" s="11">
        <v>72407</v>
      </c>
      <c r="B122" s="11" t="s">
        <v>24</v>
      </c>
      <c r="C122" s="11" t="s">
        <v>50</v>
      </c>
      <c r="D122" s="11">
        <v>468.95</v>
      </c>
      <c r="E122" s="11">
        <v>1</v>
      </c>
      <c r="F122" s="11">
        <v>468.95</v>
      </c>
      <c r="G122" s="12">
        <v>45499</v>
      </c>
      <c r="H122" s="12">
        <v>45132</v>
      </c>
      <c r="I122" t="e">
        <f t="shared" si="1"/>
        <v>#NUM!</v>
      </c>
    </row>
    <row r="123" spans="1:9" x14ac:dyDescent="0.3">
      <c r="A123" s="11">
        <v>35913</v>
      </c>
      <c r="B123" s="11" t="s">
        <v>11</v>
      </c>
      <c r="C123" s="11" t="s">
        <v>39</v>
      </c>
      <c r="D123" s="11">
        <v>988.47</v>
      </c>
      <c r="E123" s="11">
        <v>3</v>
      </c>
      <c r="F123" s="11">
        <v>2965.41</v>
      </c>
      <c r="G123" s="12">
        <v>44983</v>
      </c>
      <c r="H123" s="12">
        <v>45285</v>
      </c>
      <c r="I123">
        <f t="shared" si="1"/>
        <v>1</v>
      </c>
    </row>
    <row r="124" spans="1:9" x14ac:dyDescent="0.3">
      <c r="A124" s="11">
        <v>36963</v>
      </c>
      <c r="B124" s="11" t="s">
        <v>27</v>
      </c>
      <c r="C124" s="11" t="s">
        <v>73</v>
      </c>
      <c r="D124" s="11">
        <v>890.84</v>
      </c>
      <c r="E124" s="11">
        <v>46</v>
      </c>
      <c r="F124" s="11">
        <v>40978.639999999999</v>
      </c>
      <c r="G124" s="12">
        <v>45561</v>
      </c>
      <c r="H124" s="12">
        <v>45157</v>
      </c>
      <c r="I124" t="e">
        <f t="shared" si="1"/>
        <v>#NUM!</v>
      </c>
    </row>
    <row r="125" spans="1:9" x14ac:dyDescent="0.3">
      <c r="A125" s="11">
        <v>53212</v>
      </c>
      <c r="B125" s="11" t="s">
        <v>25</v>
      </c>
      <c r="C125" s="11" t="s">
        <v>46</v>
      </c>
      <c r="D125" s="11">
        <v>617.33000000000004</v>
      </c>
      <c r="E125" s="11">
        <v>17</v>
      </c>
      <c r="F125" s="11">
        <v>10494.61</v>
      </c>
      <c r="G125" s="12">
        <v>45516</v>
      </c>
      <c r="H125" s="12">
        <v>45013</v>
      </c>
      <c r="I125" t="e">
        <f t="shared" si="1"/>
        <v>#NUM!</v>
      </c>
    </row>
    <row r="126" spans="1:9" x14ac:dyDescent="0.3">
      <c r="A126" s="11">
        <v>93151</v>
      </c>
      <c r="B126" s="11" t="s">
        <v>10</v>
      </c>
      <c r="C126" s="11" t="s">
        <v>32</v>
      </c>
      <c r="D126" s="11">
        <v>546.64</v>
      </c>
      <c r="E126" s="11">
        <v>2</v>
      </c>
      <c r="F126" s="11">
        <v>1093.28</v>
      </c>
      <c r="G126" s="12">
        <v>45497</v>
      </c>
      <c r="H126" s="12">
        <v>45476</v>
      </c>
      <c r="I126" t="e">
        <f t="shared" si="1"/>
        <v>#NUM!</v>
      </c>
    </row>
    <row r="127" spans="1:9" x14ac:dyDescent="0.3">
      <c r="A127" s="11">
        <v>95753</v>
      </c>
      <c r="B127" s="11" t="s">
        <v>23</v>
      </c>
      <c r="C127" s="11" t="s">
        <v>55</v>
      </c>
      <c r="D127" s="11">
        <v>399.32</v>
      </c>
      <c r="E127" s="11">
        <v>49</v>
      </c>
      <c r="F127" s="11">
        <v>19566.68</v>
      </c>
      <c r="G127" s="12">
        <v>45306</v>
      </c>
      <c r="H127" s="12">
        <v>45619</v>
      </c>
      <c r="I127">
        <f t="shared" si="1"/>
        <v>1</v>
      </c>
    </row>
    <row r="128" spans="1:9" x14ac:dyDescent="0.3">
      <c r="A128" s="11">
        <v>91338</v>
      </c>
      <c r="B128" s="11" t="s">
        <v>12</v>
      </c>
      <c r="C128" s="11" t="s">
        <v>63</v>
      </c>
      <c r="D128" s="11">
        <v>611.66</v>
      </c>
      <c r="E128" s="11">
        <v>15</v>
      </c>
      <c r="F128" s="11">
        <v>9174.9</v>
      </c>
      <c r="G128" s="12">
        <v>45061</v>
      </c>
      <c r="H128" s="12">
        <v>45244</v>
      </c>
      <c r="I128">
        <f t="shared" si="1"/>
        <v>1</v>
      </c>
    </row>
    <row r="129" spans="1:9" x14ac:dyDescent="0.3">
      <c r="A129" s="11">
        <v>72244</v>
      </c>
      <c r="B129" s="11" t="s">
        <v>18</v>
      </c>
      <c r="C129" s="11" t="s">
        <v>68</v>
      </c>
      <c r="D129" s="11">
        <v>795.19</v>
      </c>
      <c r="E129" s="11">
        <v>31</v>
      </c>
      <c r="F129" s="11">
        <v>24650.89</v>
      </c>
      <c r="G129" s="12">
        <v>45234</v>
      </c>
      <c r="H129" s="12">
        <v>45150</v>
      </c>
      <c r="I129" t="e">
        <f t="shared" si="1"/>
        <v>#NUM!</v>
      </c>
    </row>
    <row r="130" spans="1:9" x14ac:dyDescent="0.3">
      <c r="A130" s="11">
        <v>70672</v>
      </c>
      <c r="B130" s="11" t="s">
        <v>16</v>
      </c>
      <c r="C130" s="11" t="s">
        <v>74</v>
      </c>
      <c r="D130" s="11">
        <v>346.4</v>
      </c>
      <c r="E130" s="11">
        <v>23</v>
      </c>
      <c r="F130" s="11">
        <v>7967.2</v>
      </c>
      <c r="G130" s="12">
        <v>45291</v>
      </c>
      <c r="H130" s="12">
        <v>45648</v>
      </c>
      <c r="I130">
        <f t="shared" si="1"/>
        <v>1</v>
      </c>
    </row>
    <row r="131" spans="1:9" x14ac:dyDescent="0.3">
      <c r="A131" s="11">
        <v>73012</v>
      </c>
      <c r="B131" s="11" t="s">
        <v>18</v>
      </c>
      <c r="C131" s="11" t="s">
        <v>34</v>
      </c>
      <c r="D131" s="11">
        <v>222.47</v>
      </c>
      <c r="E131" s="11">
        <v>33</v>
      </c>
      <c r="F131" s="11">
        <v>7341.51</v>
      </c>
      <c r="G131" s="12">
        <v>45071</v>
      </c>
      <c r="H131" s="12">
        <v>45425</v>
      </c>
      <c r="I131">
        <f t="shared" ref="I131:I194" si="2">IF(DATEDIF(G131,H131,"d") &gt; 15,1,0)</f>
        <v>1</v>
      </c>
    </row>
    <row r="132" spans="1:9" x14ac:dyDescent="0.3">
      <c r="A132" s="11">
        <v>35571</v>
      </c>
      <c r="B132" s="11" t="s">
        <v>11</v>
      </c>
      <c r="C132" s="11" t="s">
        <v>67</v>
      </c>
      <c r="D132" s="11">
        <v>402.36</v>
      </c>
      <c r="E132" s="11">
        <v>6</v>
      </c>
      <c r="F132" s="11">
        <v>2414.16</v>
      </c>
      <c r="G132" s="12">
        <v>45389</v>
      </c>
      <c r="H132" s="12">
        <v>45093</v>
      </c>
      <c r="I132" t="e">
        <f t="shared" si="2"/>
        <v>#NUM!</v>
      </c>
    </row>
    <row r="133" spans="1:9" x14ac:dyDescent="0.3">
      <c r="A133" s="11">
        <v>58827</v>
      </c>
      <c r="B133" s="11" t="s">
        <v>9</v>
      </c>
      <c r="C133" s="11" t="s">
        <v>49</v>
      </c>
      <c r="D133" s="11">
        <v>534.77</v>
      </c>
      <c r="E133" s="11">
        <v>30</v>
      </c>
      <c r="F133" s="11">
        <v>16043.1</v>
      </c>
      <c r="G133" s="12">
        <v>45104</v>
      </c>
      <c r="H133" s="12">
        <v>45285</v>
      </c>
      <c r="I133">
        <f t="shared" si="2"/>
        <v>1</v>
      </c>
    </row>
    <row r="134" spans="1:9" x14ac:dyDescent="0.3">
      <c r="A134" s="11">
        <v>53486</v>
      </c>
      <c r="B134" s="11" t="s">
        <v>9</v>
      </c>
      <c r="C134" s="11" t="s">
        <v>61</v>
      </c>
      <c r="D134" s="11">
        <v>705.68</v>
      </c>
      <c r="E134" s="11">
        <v>32</v>
      </c>
      <c r="F134" s="11">
        <v>22581.759999999998</v>
      </c>
      <c r="G134" s="12">
        <v>45243</v>
      </c>
      <c r="H134" s="12">
        <v>45254</v>
      </c>
      <c r="I134">
        <f t="shared" si="2"/>
        <v>0</v>
      </c>
    </row>
    <row r="135" spans="1:9" x14ac:dyDescent="0.3">
      <c r="A135" s="11">
        <v>57394</v>
      </c>
      <c r="B135" s="11" t="s">
        <v>26</v>
      </c>
      <c r="C135" s="11" t="s">
        <v>75</v>
      </c>
      <c r="D135" s="11">
        <v>325</v>
      </c>
      <c r="E135" s="11">
        <v>15</v>
      </c>
      <c r="F135" s="11">
        <v>4875</v>
      </c>
      <c r="G135" s="12">
        <v>45065</v>
      </c>
      <c r="H135" s="12">
        <v>45008</v>
      </c>
      <c r="I135" t="e">
        <f t="shared" si="2"/>
        <v>#NUM!</v>
      </c>
    </row>
    <row r="136" spans="1:9" x14ac:dyDescent="0.3">
      <c r="A136" s="11">
        <v>51067</v>
      </c>
      <c r="B136" s="11" t="s">
        <v>10</v>
      </c>
      <c r="C136" s="11" t="s">
        <v>76</v>
      </c>
      <c r="D136" s="11">
        <v>95.12</v>
      </c>
      <c r="E136" s="11">
        <v>4</v>
      </c>
      <c r="F136" s="11">
        <v>380.48</v>
      </c>
      <c r="G136" s="12">
        <v>45244</v>
      </c>
      <c r="H136" s="12">
        <v>45499</v>
      </c>
      <c r="I136">
        <f t="shared" si="2"/>
        <v>1</v>
      </c>
    </row>
    <row r="137" spans="1:9" x14ac:dyDescent="0.3">
      <c r="A137" s="11">
        <v>91982</v>
      </c>
      <c r="B137" s="11" t="s">
        <v>22</v>
      </c>
      <c r="C137" s="11" t="s">
        <v>66</v>
      </c>
      <c r="D137" s="11">
        <v>45.72</v>
      </c>
      <c r="E137" s="11">
        <v>36</v>
      </c>
      <c r="F137" s="11">
        <v>1645.92</v>
      </c>
      <c r="G137" s="12">
        <v>45512</v>
      </c>
      <c r="H137" s="12">
        <v>45422</v>
      </c>
      <c r="I137" t="e">
        <f t="shared" si="2"/>
        <v>#NUM!</v>
      </c>
    </row>
    <row r="138" spans="1:9" x14ac:dyDescent="0.3">
      <c r="A138" s="11">
        <v>32186</v>
      </c>
      <c r="B138" s="11" t="s">
        <v>22</v>
      </c>
      <c r="C138" s="11" t="s">
        <v>58</v>
      </c>
      <c r="D138" s="11">
        <v>988.73</v>
      </c>
      <c r="E138" s="11">
        <v>21</v>
      </c>
      <c r="F138" s="11">
        <v>20763.330000000002</v>
      </c>
      <c r="G138" s="12">
        <v>45624</v>
      </c>
      <c r="H138" s="12">
        <v>45183</v>
      </c>
      <c r="I138" t="e">
        <f t="shared" si="2"/>
        <v>#NUM!</v>
      </c>
    </row>
    <row r="139" spans="1:9" x14ac:dyDescent="0.3">
      <c r="A139" s="11">
        <v>53849</v>
      </c>
      <c r="B139" s="11" t="s">
        <v>12</v>
      </c>
      <c r="C139" s="11" t="s">
        <v>48</v>
      </c>
      <c r="D139" s="11">
        <v>93.68</v>
      </c>
      <c r="E139" s="11">
        <v>34</v>
      </c>
      <c r="F139" s="11">
        <v>3185.12</v>
      </c>
      <c r="G139" s="12">
        <v>45201</v>
      </c>
      <c r="H139" s="12">
        <v>45579</v>
      </c>
      <c r="I139">
        <f t="shared" si="2"/>
        <v>1</v>
      </c>
    </row>
    <row r="140" spans="1:9" x14ac:dyDescent="0.3">
      <c r="A140" s="11">
        <v>91311</v>
      </c>
      <c r="B140" s="11" t="s">
        <v>25</v>
      </c>
      <c r="C140" s="11" t="s">
        <v>56</v>
      </c>
      <c r="D140" s="11">
        <v>641.34</v>
      </c>
      <c r="E140" s="11">
        <v>21</v>
      </c>
      <c r="F140" s="11">
        <v>13468.14</v>
      </c>
      <c r="G140" s="12">
        <v>45546</v>
      </c>
      <c r="H140" s="12">
        <v>45235</v>
      </c>
      <c r="I140" t="e">
        <f t="shared" si="2"/>
        <v>#NUM!</v>
      </c>
    </row>
    <row r="141" spans="1:9" x14ac:dyDescent="0.3">
      <c r="A141" s="11">
        <v>61310</v>
      </c>
      <c r="B141" s="11" t="s">
        <v>8</v>
      </c>
      <c r="C141" s="11" t="s">
        <v>47</v>
      </c>
      <c r="D141" s="11">
        <v>682.74</v>
      </c>
      <c r="E141" s="11">
        <v>4</v>
      </c>
      <c r="F141" s="11">
        <v>2730.96</v>
      </c>
      <c r="G141" s="12">
        <v>45404</v>
      </c>
      <c r="H141" s="12">
        <v>45641</v>
      </c>
      <c r="I141">
        <f t="shared" si="2"/>
        <v>1</v>
      </c>
    </row>
    <row r="142" spans="1:9" x14ac:dyDescent="0.3">
      <c r="A142" s="11">
        <v>89611</v>
      </c>
      <c r="B142" s="11" t="s">
        <v>21</v>
      </c>
      <c r="C142" s="11" t="s">
        <v>35</v>
      </c>
      <c r="D142" s="11">
        <v>101.12</v>
      </c>
      <c r="E142" s="11">
        <v>35</v>
      </c>
      <c r="F142" s="11">
        <v>3539.2</v>
      </c>
      <c r="G142" s="12">
        <v>45615</v>
      </c>
      <c r="H142" s="12">
        <v>45432</v>
      </c>
      <c r="I142" t="e">
        <f t="shared" si="2"/>
        <v>#NUM!</v>
      </c>
    </row>
    <row r="143" spans="1:9" x14ac:dyDescent="0.3">
      <c r="A143" s="11">
        <v>98396</v>
      </c>
      <c r="B143" s="11" t="s">
        <v>23</v>
      </c>
      <c r="C143" s="11" t="s">
        <v>32</v>
      </c>
      <c r="D143" s="11">
        <v>546.64</v>
      </c>
      <c r="E143" s="11">
        <v>21</v>
      </c>
      <c r="F143" s="11">
        <v>11479.44</v>
      </c>
      <c r="G143" s="12">
        <v>45485</v>
      </c>
      <c r="H143" s="12">
        <v>45036</v>
      </c>
      <c r="I143" t="e">
        <f t="shared" si="2"/>
        <v>#NUM!</v>
      </c>
    </row>
    <row r="144" spans="1:9" x14ac:dyDescent="0.3">
      <c r="A144" s="11">
        <v>10812</v>
      </c>
      <c r="B144" s="11" t="s">
        <v>23</v>
      </c>
      <c r="C144" s="11" t="s">
        <v>72</v>
      </c>
      <c r="D144" s="11">
        <v>913.18</v>
      </c>
      <c r="E144" s="11">
        <v>39</v>
      </c>
      <c r="F144" s="11">
        <v>35614.019999999997</v>
      </c>
      <c r="G144" s="12">
        <v>45343</v>
      </c>
      <c r="H144" s="12">
        <v>45032</v>
      </c>
      <c r="I144" t="e">
        <f t="shared" si="2"/>
        <v>#NUM!</v>
      </c>
    </row>
    <row r="145" spans="1:9" x14ac:dyDescent="0.3">
      <c r="A145" s="11">
        <v>17038</v>
      </c>
      <c r="B145" s="11" t="s">
        <v>11</v>
      </c>
      <c r="C145" s="11" t="s">
        <v>57</v>
      </c>
      <c r="D145" s="11">
        <v>404.9</v>
      </c>
      <c r="E145" s="11">
        <v>49</v>
      </c>
      <c r="F145" s="11">
        <v>19840.099999999999</v>
      </c>
      <c r="G145" s="12">
        <v>45071</v>
      </c>
      <c r="H145" s="12">
        <v>44959</v>
      </c>
      <c r="I145" t="e">
        <f t="shared" si="2"/>
        <v>#NUM!</v>
      </c>
    </row>
    <row r="146" spans="1:9" x14ac:dyDescent="0.3">
      <c r="A146" s="11">
        <v>54632</v>
      </c>
      <c r="B146" s="11" t="s">
        <v>22</v>
      </c>
      <c r="C146" s="11" t="s">
        <v>52</v>
      </c>
      <c r="D146" s="11">
        <v>323.73</v>
      </c>
      <c r="E146" s="11">
        <v>43</v>
      </c>
      <c r="F146" s="11">
        <v>13920.39</v>
      </c>
      <c r="G146" s="12">
        <v>45569</v>
      </c>
      <c r="H146" s="12">
        <v>45580</v>
      </c>
      <c r="I146">
        <f t="shared" si="2"/>
        <v>0</v>
      </c>
    </row>
    <row r="147" spans="1:9" x14ac:dyDescent="0.3">
      <c r="A147" s="11">
        <v>84229</v>
      </c>
      <c r="B147" s="11" t="s">
        <v>13</v>
      </c>
      <c r="C147" s="11" t="s">
        <v>69</v>
      </c>
      <c r="D147" s="11">
        <v>158.66999999999999</v>
      </c>
      <c r="E147" s="11">
        <v>35</v>
      </c>
      <c r="F147" s="11">
        <v>5553.45</v>
      </c>
      <c r="G147" s="12">
        <v>45436</v>
      </c>
      <c r="H147" s="12">
        <v>45328</v>
      </c>
      <c r="I147" t="e">
        <f t="shared" si="2"/>
        <v>#NUM!</v>
      </c>
    </row>
    <row r="148" spans="1:9" x14ac:dyDescent="0.3">
      <c r="A148" s="11">
        <v>57641</v>
      </c>
      <c r="B148" s="11" t="s">
        <v>25</v>
      </c>
      <c r="C148" s="11" t="s">
        <v>40</v>
      </c>
      <c r="D148" s="11">
        <v>875.47</v>
      </c>
      <c r="E148" s="11">
        <v>7</v>
      </c>
      <c r="F148" s="11">
        <v>6128.29</v>
      </c>
      <c r="G148" s="12">
        <v>45245</v>
      </c>
      <c r="H148" s="12">
        <v>45333</v>
      </c>
      <c r="I148">
        <f t="shared" si="2"/>
        <v>1</v>
      </c>
    </row>
    <row r="149" spans="1:9" x14ac:dyDescent="0.3">
      <c r="A149" s="11">
        <v>35473</v>
      </c>
      <c r="B149" s="11" t="s">
        <v>18</v>
      </c>
      <c r="C149" s="11" t="s">
        <v>28</v>
      </c>
      <c r="D149" s="11">
        <v>855.99</v>
      </c>
      <c r="E149" s="11">
        <v>44</v>
      </c>
      <c r="F149" s="11">
        <v>37663.56</v>
      </c>
      <c r="G149" s="12">
        <v>45474</v>
      </c>
      <c r="H149" s="12">
        <v>45642</v>
      </c>
      <c r="I149">
        <f t="shared" si="2"/>
        <v>1</v>
      </c>
    </row>
    <row r="150" spans="1:9" x14ac:dyDescent="0.3">
      <c r="A150" s="11">
        <v>71042</v>
      </c>
      <c r="B150" s="11" t="s">
        <v>20</v>
      </c>
      <c r="C150" s="11" t="s">
        <v>50</v>
      </c>
      <c r="D150" s="11">
        <v>468.95</v>
      </c>
      <c r="E150" s="11">
        <v>1</v>
      </c>
      <c r="F150" s="11">
        <v>468.95</v>
      </c>
      <c r="G150" s="12">
        <v>45089</v>
      </c>
      <c r="H150" s="12">
        <v>45040</v>
      </c>
      <c r="I150" t="e">
        <f t="shared" si="2"/>
        <v>#NUM!</v>
      </c>
    </row>
    <row r="151" spans="1:9" x14ac:dyDescent="0.3">
      <c r="A151" s="11">
        <v>37073</v>
      </c>
      <c r="B151" s="11" t="s">
        <v>20</v>
      </c>
      <c r="C151" s="11" t="s">
        <v>41</v>
      </c>
      <c r="D151" s="11">
        <v>110.41</v>
      </c>
      <c r="E151" s="11">
        <v>38</v>
      </c>
      <c r="F151" s="11">
        <v>4195.58</v>
      </c>
      <c r="G151" s="12">
        <v>45033</v>
      </c>
      <c r="H151" s="12">
        <v>45021</v>
      </c>
      <c r="I151" t="e">
        <f t="shared" si="2"/>
        <v>#NUM!</v>
      </c>
    </row>
    <row r="152" spans="1:9" x14ac:dyDescent="0.3">
      <c r="A152" s="11">
        <v>97471</v>
      </c>
      <c r="B152" s="11" t="s">
        <v>16</v>
      </c>
      <c r="C152" s="11" t="s">
        <v>50</v>
      </c>
      <c r="D152" s="11">
        <v>468.95</v>
      </c>
      <c r="E152" s="11">
        <v>39</v>
      </c>
      <c r="F152" s="11">
        <v>18289.05</v>
      </c>
      <c r="G152" s="12">
        <v>45461</v>
      </c>
      <c r="H152" s="12">
        <v>45085</v>
      </c>
      <c r="I152" t="e">
        <f t="shared" si="2"/>
        <v>#NUM!</v>
      </c>
    </row>
    <row r="153" spans="1:9" x14ac:dyDescent="0.3">
      <c r="A153" s="11">
        <v>31687</v>
      </c>
      <c r="B153" s="11" t="s">
        <v>9</v>
      </c>
      <c r="C153" s="11" t="s">
        <v>42</v>
      </c>
      <c r="D153" s="11">
        <v>112.52</v>
      </c>
      <c r="E153" s="11">
        <v>33</v>
      </c>
      <c r="F153" s="11">
        <v>3713.16</v>
      </c>
      <c r="G153" s="12">
        <v>45357</v>
      </c>
      <c r="H153" s="12">
        <v>44990</v>
      </c>
      <c r="I153" t="e">
        <f t="shared" si="2"/>
        <v>#NUM!</v>
      </c>
    </row>
    <row r="154" spans="1:9" x14ac:dyDescent="0.3">
      <c r="A154" s="11">
        <v>59850</v>
      </c>
      <c r="B154" s="11" t="s">
        <v>17</v>
      </c>
      <c r="C154" s="11" t="s">
        <v>72</v>
      </c>
      <c r="D154" s="11">
        <v>913.18</v>
      </c>
      <c r="E154" s="11">
        <v>17</v>
      </c>
      <c r="F154" s="11">
        <v>15524.06</v>
      </c>
      <c r="G154" s="12">
        <v>45317</v>
      </c>
      <c r="H154" s="12">
        <v>45562</v>
      </c>
      <c r="I154">
        <f t="shared" si="2"/>
        <v>1</v>
      </c>
    </row>
    <row r="155" spans="1:9" x14ac:dyDescent="0.3">
      <c r="A155" s="11">
        <v>40430</v>
      </c>
      <c r="B155" s="11" t="s">
        <v>9</v>
      </c>
      <c r="C155" s="11" t="s">
        <v>59</v>
      </c>
      <c r="D155" s="11">
        <v>346.37</v>
      </c>
      <c r="E155" s="11">
        <v>8</v>
      </c>
      <c r="F155" s="11">
        <v>2770.96</v>
      </c>
      <c r="G155" s="12">
        <v>45463</v>
      </c>
      <c r="H155" s="12">
        <v>45226</v>
      </c>
      <c r="I155" t="e">
        <f t="shared" si="2"/>
        <v>#NUM!</v>
      </c>
    </row>
    <row r="156" spans="1:9" x14ac:dyDescent="0.3">
      <c r="A156" s="11">
        <v>91701</v>
      </c>
      <c r="B156" s="11" t="s">
        <v>24</v>
      </c>
      <c r="C156" s="11" t="s">
        <v>75</v>
      </c>
      <c r="D156" s="11">
        <v>325</v>
      </c>
      <c r="E156" s="11">
        <v>48</v>
      </c>
      <c r="F156" s="11">
        <v>15600</v>
      </c>
      <c r="G156" s="12">
        <v>45363</v>
      </c>
      <c r="H156" s="12">
        <v>45585</v>
      </c>
      <c r="I156">
        <f t="shared" si="2"/>
        <v>1</v>
      </c>
    </row>
    <row r="157" spans="1:9" x14ac:dyDescent="0.3">
      <c r="A157" s="11">
        <v>67414</v>
      </c>
      <c r="B157" s="11" t="s">
        <v>26</v>
      </c>
      <c r="C157" s="11" t="s">
        <v>57</v>
      </c>
      <c r="D157" s="11">
        <v>404.9</v>
      </c>
      <c r="E157" s="11">
        <v>38</v>
      </c>
      <c r="F157" s="11">
        <v>15386.2</v>
      </c>
      <c r="G157" s="12">
        <v>45338</v>
      </c>
      <c r="H157" s="12">
        <v>45590</v>
      </c>
      <c r="I157">
        <f t="shared" si="2"/>
        <v>1</v>
      </c>
    </row>
    <row r="158" spans="1:9" x14ac:dyDescent="0.3">
      <c r="A158" s="11">
        <v>71928</v>
      </c>
      <c r="B158" s="11" t="s">
        <v>11</v>
      </c>
      <c r="C158" s="11" t="s">
        <v>48</v>
      </c>
      <c r="D158" s="11">
        <v>93.68</v>
      </c>
      <c r="E158" s="11">
        <v>29</v>
      </c>
      <c r="F158" s="11">
        <v>2716.72</v>
      </c>
      <c r="G158" s="12">
        <v>45454</v>
      </c>
      <c r="H158" s="12">
        <v>45533</v>
      </c>
      <c r="I158">
        <f t="shared" si="2"/>
        <v>1</v>
      </c>
    </row>
    <row r="159" spans="1:9" x14ac:dyDescent="0.3">
      <c r="A159" s="11">
        <v>92965</v>
      </c>
      <c r="B159" s="11" t="s">
        <v>14</v>
      </c>
      <c r="C159" s="11" t="s">
        <v>58</v>
      </c>
      <c r="D159" s="11">
        <v>988.73</v>
      </c>
      <c r="E159" s="11">
        <v>23</v>
      </c>
      <c r="F159" s="11">
        <v>22740.79</v>
      </c>
      <c r="G159" s="12">
        <v>44980</v>
      </c>
      <c r="H159" s="12">
        <v>45163</v>
      </c>
      <c r="I159">
        <f t="shared" si="2"/>
        <v>1</v>
      </c>
    </row>
    <row r="160" spans="1:9" x14ac:dyDescent="0.3">
      <c r="A160" s="11">
        <v>75037</v>
      </c>
      <c r="B160" s="11" t="s">
        <v>18</v>
      </c>
      <c r="C160" s="11" t="s">
        <v>76</v>
      </c>
      <c r="D160" s="11">
        <v>95.12</v>
      </c>
      <c r="E160" s="11">
        <v>25</v>
      </c>
      <c r="F160" s="11">
        <v>2378</v>
      </c>
      <c r="G160" s="12">
        <v>45652</v>
      </c>
      <c r="H160" s="12">
        <v>45348</v>
      </c>
      <c r="I160" t="e">
        <f t="shared" si="2"/>
        <v>#NUM!</v>
      </c>
    </row>
    <row r="161" spans="1:9" x14ac:dyDescent="0.3">
      <c r="A161" s="11">
        <v>25512</v>
      </c>
      <c r="B161" s="11" t="s">
        <v>8</v>
      </c>
      <c r="C161" s="11" t="s">
        <v>28</v>
      </c>
      <c r="D161" s="11">
        <v>855.99</v>
      </c>
      <c r="E161" s="11">
        <v>12</v>
      </c>
      <c r="F161" s="11">
        <v>10271.879999999999</v>
      </c>
      <c r="G161" s="12">
        <v>45499</v>
      </c>
      <c r="H161" s="12">
        <v>45567</v>
      </c>
      <c r="I161">
        <f t="shared" si="2"/>
        <v>1</v>
      </c>
    </row>
    <row r="162" spans="1:9" x14ac:dyDescent="0.3">
      <c r="A162" s="11">
        <v>88898</v>
      </c>
      <c r="B162" s="11" t="s">
        <v>13</v>
      </c>
      <c r="C162" s="11" t="s">
        <v>28</v>
      </c>
      <c r="D162" s="11">
        <v>855.99</v>
      </c>
      <c r="E162" s="11">
        <v>34</v>
      </c>
      <c r="F162" s="11">
        <v>29103.66</v>
      </c>
      <c r="G162" s="12">
        <v>45385</v>
      </c>
      <c r="H162" s="12">
        <v>45276</v>
      </c>
      <c r="I162" t="e">
        <f t="shared" si="2"/>
        <v>#NUM!</v>
      </c>
    </row>
    <row r="163" spans="1:9" x14ac:dyDescent="0.3">
      <c r="A163" s="11">
        <v>23933</v>
      </c>
      <c r="B163" s="11" t="s">
        <v>27</v>
      </c>
      <c r="C163" s="11" t="s">
        <v>35</v>
      </c>
      <c r="D163" s="11">
        <v>101.12</v>
      </c>
      <c r="E163" s="11">
        <v>38</v>
      </c>
      <c r="F163" s="11">
        <v>3842.56</v>
      </c>
      <c r="G163" s="12">
        <v>45568</v>
      </c>
      <c r="H163" s="12">
        <v>45514</v>
      </c>
      <c r="I163" t="e">
        <f t="shared" si="2"/>
        <v>#NUM!</v>
      </c>
    </row>
    <row r="164" spans="1:9" x14ac:dyDescent="0.3">
      <c r="A164" s="11">
        <v>36511</v>
      </c>
      <c r="B164" s="11" t="s">
        <v>24</v>
      </c>
      <c r="C164" s="11" t="s">
        <v>54</v>
      </c>
      <c r="D164" s="11">
        <v>730.09</v>
      </c>
      <c r="E164" s="11">
        <v>45</v>
      </c>
      <c r="F164" s="11">
        <v>32854.050000000003</v>
      </c>
      <c r="G164" s="12">
        <v>45135</v>
      </c>
      <c r="H164" s="12">
        <v>45549</v>
      </c>
      <c r="I164">
        <f t="shared" si="2"/>
        <v>1</v>
      </c>
    </row>
    <row r="165" spans="1:9" x14ac:dyDescent="0.3">
      <c r="A165" s="11">
        <v>92862</v>
      </c>
      <c r="B165" s="11" t="s">
        <v>17</v>
      </c>
      <c r="C165" s="11" t="s">
        <v>71</v>
      </c>
      <c r="D165" s="11">
        <v>870.6</v>
      </c>
      <c r="E165" s="11">
        <v>29</v>
      </c>
      <c r="F165" s="11">
        <v>25247.4</v>
      </c>
      <c r="G165" s="12">
        <v>45452</v>
      </c>
      <c r="H165" s="12">
        <v>45191</v>
      </c>
      <c r="I165" t="e">
        <f t="shared" si="2"/>
        <v>#NUM!</v>
      </c>
    </row>
    <row r="166" spans="1:9" x14ac:dyDescent="0.3">
      <c r="A166" s="11">
        <v>16532</v>
      </c>
      <c r="B166" s="11" t="s">
        <v>19</v>
      </c>
      <c r="C166" s="11" t="s">
        <v>74</v>
      </c>
      <c r="D166" s="11">
        <v>346.4</v>
      </c>
      <c r="E166" s="11">
        <v>14</v>
      </c>
      <c r="F166" s="11">
        <v>4849.6000000000004</v>
      </c>
      <c r="G166" s="12">
        <v>45307</v>
      </c>
      <c r="H166" s="12">
        <v>45117</v>
      </c>
      <c r="I166" t="e">
        <f t="shared" si="2"/>
        <v>#NUM!</v>
      </c>
    </row>
    <row r="167" spans="1:9" x14ac:dyDescent="0.3">
      <c r="A167" s="11">
        <v>49391</v>
      </c>
      <c r="B167" s="11" t="s">
        <v>26</v>
      </c>
      <c r="C167" s="11" t="s">
        <v>52</v>
      </c>
      <c r="D167" s="11">
        <v>323.73</v>
      </c>
      <c r="E167" s="11">
        <v>46</v>
      </c>
      <c r="F167" s="11">
        <v>14891.58</v>
      </c>
      <c r="G167" s="12">
        <v>45246</v>
      </c>
      <c r="H167" s="12">
        <v>45241</v>
      </c>
      <c r="I167" t="e">
        <f t="shared" si="2"/>
        <v>#NUM!</v>
      </c>
    </row>
    <row r="168" spans="1:9" x14ac:dyDescent="0.3">
      <c r="A168" s="11">
        <v>95235</v>
      </c>
      <c r="B168" s="11" t="s">
        <v>22</v>
      </c>
      <c r="C168" s="11" t="s">
        <v>51</v>
      </c>
      <c r="D168" s="11">
        <v>533.15</v>
      </c>
      <c r="E168" s="11">
        <v>49</v>
      </c>
      <c r="F168" s="11">
        <v>26124.35</v>
      </c>
      <c r="G168" s="12">
        <v>45298</v>
      </c>
      <c r="H168" s="12">
        <v>45543</v>
      </c>
      <c r="I168">
        <f t="shared" si="2"/>
        <v>1</v>
      </c>
    </row>
    <row r="169" spans="1:9" x14ac:dyDescent="0.3">
      <c r="A169" s="11">
        <v>57067</v>
      </c>
      <c r="B169" s="11" t="s">
        <v>23</v>
      </c>
      <c r="C169" s="11" t="s">
        <v>32</v>
      </c>
      <c r="D169" s="11">
        <v>546.64</v>
      </c>
      <c r="E169" s="11">
        <v>41</v>
      </c>
      <c r="F169" s="11">
        <v>22412.240000000002</v>
      </c>
      <c r="G169" s="12">
        <v>45434</v>
      </c>
      <c r="H169" s="12">
        <v>45263</v>
      </c>
      <c r="I169" t="e">
        <f t="shared" si="2"/>
        <v>#NUM!</v>
      </c>
    </row>
    <row r="170" spans="1:9" x14ac:dyDescent="0.3">
      <c r="A170" s="11">
        <v>53526</v>
      </c>
      <c r="B170" s="11" t="s">
        <v>23</v>
      </c>
      <c r="C170" s="11" t="s">
        <v>53</v>
      </c>
      <c r="D170" s="11">
        <v>972.24</v>
      </c>
      <c r="E170" s="11">
        <v>40</v>
      </c>
      <c r="F170" s="11">
        <v>38889.599999999999</v>
      </c>
      <c r="G170" s="12">
        <v>45648</v>
      </c>
      <c r="H170" s="12">
        <v>45226</v>
      </c>
      <c r="I170" t="e">
        <f t="shared" si="2"/>
        <v>#NUM!</v>
      </c>
    </row>
    <row r="171" spans="1:9" x14ac:dyDescent="0.3">
      <c r="A171" s="11">
        <v>24299</v>
      </c>
      <c r="B171" s="11" t="s">
        <v>15</v>
      </c>
      <c r="C171" s="11" t="s">
        <v>47</v>
      </c>
      <c r="D171" s="11">
        <v>682.74</v>
      </c>
      <c r="E171" s="11">
        <v>1</v>
      </c>
      <c r="F171" s="11">
        <v>682.74</v>
      </c>
      <c r="G171" s="12">
        <v>45528</v>
      </c>
      <c r="H171" s="12">
        <v>45040</v>
      </c>
      <c r="I171" t="e">
        <f t="shared" si="2"/>
        <v>#NUM!</v>
      </c>
    </row>
    <row r="172" spans="1:9" x14ac:dyDescent="0.3">
      <c r="A172" s="11">
        <v>28287</v>
      </c>
      <c r="B172" s="11" t="s">
        <v>13</v>
      </c>
      <c r="C172" s="11" t="s">
        <v>68</v>
      </c>
      <c r="D172" s="11">
        <v>795.19</v>
      </c>
      <c r="E172" s="11">
        <v>24</v>
      </c>
      <c r="F172" s="11">
        <v>19084.560000000001</v>
      </c>
      <c r="G172" s="12">
        <v>45059</v>
      </c>
      <c r="H172" s="12">
        <v>45142</v>
      </c>
      <c r="I172">
        <f t="shared" si="2"/>
        <v>1</v>
      </c>
    </row>
    <row r="173" spans="1:9" x14ac:dyDescent="0.3">
      <c r="A173" s="11">
        <v>57560</v>
      </c>
      <c r="B173" s="11" t="s">
        <v>16</v>
      </c>
      <c r="C173" s="11" t="s">
        <v>65</v>
      </c>
      <c r="D173" s="11">
        <v>753.12</v>
      </c>
      <c r="E173" s="11">
        <v>15</v>
      </c>
      <c r="F173" s="11">
        <v>11296.8</v>
      </c>
      <c r="G173" s="12">
        <v>45651</v>
      </c>
      <c r="H173" s="12">
        <v>45454</v>
      </c>
      <c r="I173" t="e">
        <f t="shared" si="2"/>
        <v>#NUM!</v>
      </c>
    </row>
    <row r="174" spans="1:9" x14ac:dyDescent="0.3">
      <c r="A174" s="11">
        <v>37681</v>
      </c>
      <c r="B174" s="11" t="s">
        <v>11</v>
      </c>
      <c r="C174" s="11" t="s">
        <v>55</v>
      </c>
      <c r="D174" s="11">
        <v>399.32</v>
      </c>
      <c r="E174" s="11">
        <v>8</v>
      </c>
      <c r="F174" s="11">
        <v>3194.56</v>
      </c>
      <c r="G174" s="12">
        <v>45515</v>
      </c>
      <c r="H174" s="12">
        <v>45120</v>
      </c>
      <c r="I174" t="e">
        <f t="shared" si="2"/>
        <v>#NUM!</v>
      </c>
    </row>
    <row r="175" spans="1:9" x14ac:dyDescent="0.3">
      <c r="A175" s="11">
        <v>32244</v>
      </c>
      <c r="B175" s="11" t="s">
        <v>10</v>
      </c>
      <c r="C175" s="11" t="s">
        <v>30</v>
      </c>
      <c r="D175" s="11">
        <v>68.05</v>
      </c>
      <c r="E175" s="11">
        <v>6</v>
      </c>
      <c r="F175" s="11">
        <v>408.3</v>
      </c>
      <c r="G175" s="12">
        <v>44988</v>
      </c>
      <c r="H175" s="12">
        <v>45591</v>
      </c>
      <c r="I175">
        <f t="shared" si="2"/>
        <v>1</v>
      </c>
    </row>
    <row r="176" spans="1:9" x14ac:dyDescent="0.3">
      <c r="A176" s="11">
        <v>23259</v>
      </c>
      <c r="B176" s="11" t="s">
        <v>27</v>
      </c>
      <c r="C176" s="11" t="s">
        <v>72</v>
      </c>
      <c r="D176" s="11">
        <v>913.18</v>
      </c>
      <c r="E176" s="11">
        <v>23</v>
      </c>
      <c r="F176" s="11">
        <v>21003.14</v>
      </c>
      <c r="G176" s="12">
        <v>45318</v>
      </c>
      <c r="H176" s="12">
        <v>45614</v>
      </c>
      <c r="I176">
        <f t="shared" si="2"/>
        <v>1</v>
      </c>
    </row>
    <row r="177" spans="1:9" x14ac:dyDescent="0.3">
      <c r="A177" s="11">
        <v>72318</v>
      </c>
      <c r="B177" s="11" t="s">
        <v>24</v>
      </c>
      <c r="C177" s="11" t="s">
        <v>52</v>
      </c>
      <c r="D177" s="11">
        <v>323.73</v>
      </c>
      <c r="E177" s="11">
        <v>45</v>
      </c>
      <c r="F177" s="11">
        <v>14567.85</v>
      </c>
      <c r="G177" s="12">
        <v>45512</v>
      </c>
      <c r="H177" s="12">
        <v>45485</v>
      </c>
      <c r="I177" t="e">
        <f t="shared" si="2"/>
        <v>#NUM!</v>
      </c>
    </row>
    <row r="178" spans="1:9" x14ac:dyDescent="0.3">
      <c r="A178" s="11">
        <v>67901</v>
      </c>
      <c r="B178" s="11" t="s">
        <v>10</v>
      </c>
      <c r="C178" s="11" t="s">
        <v>38</v>
      </c>
      <c r="D178" s="11">
        <v>233.83</v>
      </c>
      <c r="E178" s="11">
        <v>20</v>
      </c>
      <c r="F178" s="11">
        <v>4676.6000000000004</v>
      </c>
      <c r="G178" s="12">
        <v>45575</v>
      </c>
      <c r="H178" s="12">
        <v>45146</v>
      </c>
      <c r="I178" t="e">
        <f t="shared" si="2"/>
        <v>#NUM!</v>
      </c>
    </row>
    <row r="179" spans="1:9" x14ac:dyDescent="0.3">
      <c r="A179" s="11">
        <v>33641</v>
      </c>
      <c r="B179" s="11" t="s">
        <v>21</v>
      </c>
      <c r="C179" s="11" t="s">
        <v>35</v>
      </c>
      <c r="D179" s="11">
        <v>101.12</v>
      </c>
      <c r="E179" s="11">
        <v>6</v>
      </c>
      <c r="F179" s="11">
        <v>606.72</v>
      </c>
      <c r="G179" s="12">
        <v>44997</v>
      </c>
      <c r="H179" s="12">
        <v>45130</v>
      </c>
      <c r="I179">
        <f t="shared" si="2"/>
        <v>1</v>
      </c>
    </row>
    <row r="180" spans="1:9" x14ac:dyDescent="0.3">
      <c r="A180" s="11">
        <v>87656</v>
      </c>
      <c r="B180" s="11" t="s">
        <v>18</v>
      </c>
      <c r="C180" s="11" t="s">
        <v>35</v>
      </c>
      <c r="D180" s="11">
        <v>101.12</v>
      </c>
      <c r="E180" s="11">
        <v>11</v>
      </c>
      <c r="F180" s="11">
        <v>1112.32</v>
      </c>
      <c r="G180" s="12">
        <v>45058</v>
      </c>
      <c r="H180" s="12">
        <v>45585</v>
      </c>
      <c r="I180">
        <f t="shared" si="2"/>
        <v>1</v>
      </c>
    </row>
    <row r="181" spans="1:9" x14ac:dyDescent="0.3">
      <c r="A181" s="11">
        <v>43748</v>
      </c>
      <c r="B181" s="11" t="s">
        <v>14</v>
      </c>
      <c r="C181" s="11" t="s">
        <v>34</v>
      </c>
      <c r="D181" s="11">
        <v>222.47</v>
      </c>
      <c r="E181" s="11">
        <v>15</v>
      </c>
      <c r="F181" s="11">
        <v>3337.05</v>
      </c>
      <c r="G181" s="12">
        <v>45522</v>
      </c>
      <c r="H181" s="12">
        <v>45600</v>
      </c>
      <c r="I181">
        <f t="shared" si="2"/>
        <v>1</v>
      </c>
    </row>
    <row r="182" spans="1:9" x14ac:dyDescent="0.3">
      <c r="A182" s="11">
        <v>30885</v>
      </c>
      <c r="B182" s="11" t="s">
        <v>10</v>
      </c>
      <c r="C182" s="11" t="s">
        <v>40</v>
      </c>
      <c r="D182" s="11">
        <v>875.47</v>
      </c>
      <c r="E182" s="11">
        <v>20</v>
      </c>
      <c r="F182" s="11">
        <v>17509.400000000001</v>
      </c>
      <c r="G182" s="12">
        <v>45607</v>
      </c>
      <c r="H182" s="12">
        <v>45443</v>
      </c>
      <c r="I182" t="e">
        <f t="shared" si="2"/>
        <v>#NUM!</v>
      </c>
    </row>
    <row r="183" spans="1:9" x14ac:dyDescent="0.3">
      <c r="A183" s="11">
        <v>74935</v>
      </c>
      <c r="B183" s="11" t="s">
        <v>18</v>
      </c>
      <c r="C183" s="11" t="s">
        <v>42</v>
      </c>
      <c r="D183" s="11">
        <v>112.52</v>
      </c>
      <c r="E183" s="11">
        <v>9</v>
      </c>
      <c r="F183" s="11">
        <v>1012.68</v>
      </c>
      <c r="G183" s="12">
        <v>45140</v>
      </c>
      <c r="H183" s="12">
        <v>45183</v>
      </c>
      <c r="I183">
        <f t="shared" si="2"/>
        <v>1</v>
      </c>
    </row>
    <row r="184" spans="1:9" x14ac:dyDescent="0.3">
      <c r="A184" s="11">
        <v>72669</v>
      </c>
      <c r="B184" s="11" t="s">
        <v>10</v>
      </c>
      <c r="C184" s="11" t="s">
        <v>30</v>
      </c>
      <c r="D184" s="11">
        <v>68.05</v>
      </c>
      <c r="E184" s="11">
        <v>5</v>
      </c>
      <c r="F184" s="11">
        <v>340.25</v>
      </c>
      <c r="G184" s="12">
        <v>45123</v>
      </c>
      <c r="H184" s="12">
        <v>45058</v>
      </c>
      <c r="I184" t="e">
        <f t="shared" si="2"/>
        <v>#NUM!</v>
      </c>
    </row>
    <row r="185" spans="1:9" x14ac:dyDescent="0.3">
      <c r="A185" s="11">
        <v>71747</v>
      </c>
      <c r="B185" s="11" t="s">
        <v>26</v>
      </c>
      <c r="C185" s="11" t="s">
        <v>46</v>
      </c>
      <c r="D185" s="11">
        <v>617.33000000000004</v>
      </c>
      <c r="E185" s="11">
        <v>42</v>
      </c>
      <c r="F185" s="11">
        <v>25927.86</v>
      </c>
      <c r="G185" s="12">
        <v>45529</v>
      </c>
      <c r="H185" s="12">
        <v>45620</v>
      </c>
      <c r="I185">
        <f t="shared" si="2"/>
        <v>1</v>
      </c>
    </row>
    <row r="186" spans="1:9" x14ac:dyDescent="0.3">
      <c r="A186" s="11">
        <v>42048</v>
      </c>
      <c r="B186" s="11" t="s">
        <v>25</v>
      </c>
      <c r="C186" s="11" t="s">
        <v>77</v>
      </c>
      <c r="D186" s="11">
        <v>761.92</v>
      </c>
      <c r="E186" s="11">
        <v>26</v>
      </c>
      <c r="F186" s="11">
        <v>19809.919999999998</v>
      </c>
      <c r="G186" s="12">
        <v>45398</v>
      </c>
      <c r="H186" s="12">
        <v>45555</v>
      </c>
      <c r="I186">
        <f t="shared" si="2"/>
        <v>1</v>
      </c>
    </row>
    <row r="187" spans="1:9" x14ac:dyDescent="0.3">
      <c r="A187" s="11">
        <v>21885</v>
      </c>
      <c r="B187" s="11" t="s">
        <v>10</v>
      </c>
      <c r="C187" s="11" t="s">
        <v>34</v>
      </c>
      <c r="D187" s="11">
        <v>222.47</v>
      </c>
      <c r="E187" s="11">
        <v>11</v>
      </c>
      <c r="F187" s="11">
        <v>2447.17</v>
      </c>
      <c r="G187" s="12">
        <v>45609</v>
      </c>
      <c r="H187" s="12">
        <v>45103</v>
      </c>
      <c r="I187" t="e">
        <f t="shared" si="2"/>
        <v>#NUM!</v>
      </c>
    </row>
    <row r="188" spans="1:9" x14ac:dyDescent="0.3">
      <c r="A188" s="11">
        <v>12575</v>
      </c>
      <c r="B188" s="11" t="s">
        <v>18</v>
      </c>
      <c r="C188" s="11" t="s">
        <v>45</v>
      </c>
      <c r="D188" s="11">
        <v>366.3</v>
      </c>
      <c r="E188" s="11">
        <v>4</v>
      </c>
      <c r="F188" s="11">
        <v>1465.2</v>
      </c>
      <c r="G188" s="12">
        <v>45072</v>
      </c>
      <c r="H188" s="12">
        <v>45004</v>
      </c>
      <c r="I188" t="e">
        <f t="shared" si="2"/>
        <v>#NUM!</v>
      </c>
    </row>
    <row r="189" spans="1:9" x14ac:dyDescent="0.3">
      <c r="A189" s="11">
        <v>17628</v>
      </c>
      <c r="B189" s="11" t="s">
        <v>24</v>
      </c>
      <c r="C189" s="11" t="s">
        <v>76</v>
      </c>
      <c r="D189" s="11">
        <v>95.12</v>
      </c>
      <c r="E189" s="11">
        <v>9</v>
      </c>
      <c r="F189" s="11">
        <v>856.08</v>
      </c>
      <c r="G189" s="12">
        <v>45090</v>
      </c>
      <c r="H189" s="12">
        <v>45552</v>
      </c>
      <c r="I189">
        <f t="shared" si="2"/>
        <v>1</v>
      </c>
    </row>
    <row r="190" spans="1:9" x14ac:dyDescent="0.3">
      <c r="A190" s="11">
        <v>86919</v>
      </c>
      <c r="B190" s="11" t="s">
        <v>21</v>
      </c>
      <c r="C190" s="11" t="s">
        <v>44</v>
      </c>
      <c r="D190" s="11">
        <v>654.4</v>
      </c>
      <c r="E190" s="11">
        <v>6</v>
      </c>
      <c r="F190" s="11">
        <v>3926.4</v>
      </c>
      <c r="G190" s="12">
        <v>45035</v>
      </c>
      <c r="H190" s="12">
        <v>45174</v>
      </c>
      <c r="I190">
        <f t="shared" si="2"/>
        <v>1</v>
      </c>
    </row>
    <row r="191" spans="1:9" x14ac:dyDescent="0.3">
      <c r="A191" s="11">
        <v>40648</v>
      </c>
      <c r="B191" s="11" t="s">
        <v>14</v>
      </c>
      <c r="C191" s="11" t="s">
        <v>69</v>
      </c>
      <c r="D191" s="11">
        <v>158.66999999999999</v>
      </c>
      <c r="E191" s="11">
        <v>30</v>
      </c>
      <c r="F191" s="11">
        <v>4760.1000000000004</v>
      </c>
      <c r="G191" s="12">
        <v>45446</v>
      </c>
      <c r="H191" s="12">
        <v>45289</v>
      </c>
      <c r="I191" t="e">
        <f t="shared" si="2"/>
        <v>#NUM!</v>
      </c>
    </row>
    <row r="192" spans="1:9" x14ac:dyDescent="0.3">
      <c r="A192" s="11">
        <v>17587</v>
      </c>
      <c r="B192" s="11" t="s">
        <v>25</v>
      </c>
      <c r="C192" s="11" t="s">
        <v>43</v>
      </c>
      <c r="D192" s="11">
        <v>608.37</v>
      </c>
      <c r="E192" s="11">
        <v>13</v>
      </c>
      <c r="F192" s="11">
        <v>7908.81</v>
      </c>
      <c r="G192" s="12">
        <v>45643</v>
      </c>
      <c r="H192" s="12">
        <v>45013</v>
      </c>
      <c r="I192" t="e">
        <f t="shared" si="2"/>
        <v>#NUM!</v>
      </c>
    </row>
    <row r="193" spans="1:9" x14ac:dyDescent="0.3">
      <c r="A193" s="11">
        <v>34685</v>
      </c>
      <c r="B193" s="11" t="s">
        <v>12</v>
      </c>
      <c r="C193" s="11" t="s">
        <v>67</v>
      </c>
      <c r="D193" s="11">
        <v>402.36</v>
      </c>
      <c r="E193" s="11">
        <v>32</v>
      </c>
      <c r="F193" s="11">
        <v>12875.52</v>
      </c>
      <c r="G193" s="12">
        <v>45431</v>
      </c>
      <c r="H193" s="12">
        <v>45181</v>
      </c>
      <c r="I193" t="e">
        <f t="shared" si="2"/>
        <v>#NUM!</v>
      </c>
    </row>
    <row r="194" spans="1:9" x14ac:dyDescent="0.3">
      <c r="A194" s="11">
        <v>78884</v>
      </c>
      <c r="B194" s="11" t="s">
        <v>21</v>
      </c>
      <c r="C194" s="11" t="s">
        <v>73</v>
      </c>
      <c r="D194" s="11">
        <v>890.84</v>
      </c>
      <c r="E194" s="11">
        <v>33</v>
      </c>
      <c r="F194" s="11">
        <v>29397.72</v>
      </c>
      <c r="G194" s="12">
        <v>45568</v>
      </c>
      <c r="H194" s="12">
        <v>45215</v>
      </c>
      <c r="I194" t="e">
        <f t="shared" si="2"/>
        <v>#NUM!</v>
      </c>
    </row>
    <row r="195" spans="1:9" x14ac:dyDescent="0.3">
      <c r="A195" s="11">
        <v>67827</v>
      </c>
      <c r="B195" s="11" t="s">
        <v>20</v>
      </c>
      <c r="C195" s="11" t="s">
        <v>32</v>
      </c>
      <c r="D195" s="11">
        <v>546.64</v>
      </c>
      <c r="E195" s="11">
        <v>30</v>
      </c>
      <c r="F195" s="11">
        <v>16399.2</v>
      </c>
      <c r="G195" s="12">
        <v>45591</v>
      </c>
      <c r="H195" s="12">
        <v>45486</v>
      </c>
      <c r="I195" t="e">
        <f t="shared" ref="I195:I258" si="3">IF(DATEDIF(G195,H195,"d") &gt; 15,1,0)</f>
        <v>#NUM!</v>
      </c>
    </row>
    <row r="196" spans="1:9" x14ac:dyDescent="0.3">
      <c r="A196" s="11">
        <v>90437</v>
      </c>
      <c r="B196" s="11" t="s">
        <v>9</v>
      </c>
      <c r="C196" s="11" t="s">
        <v>58</v>
      </c>
      <c r="D196" s="11">
        <v>988.73</v>
      </c>
      <c r="E196" s="11">
        <v>26</v>
      </c>
      <c r="F196" s="11">
        <v>25706.98</v>
      </c>
      <c r="G196" s="12">
        <v>45144</v>
      </c>
      <c r="H196" s="12">
        <v>45048</v>
      </c>
      <c r="I196" t="e">
        <f t="shared" si="3"/>
        <v>#NUM!</v>
      </c>
    </row>
    <row r="197" spans="1:9" x14ac:dyDescent="0.3">
      <c r="A197" s="11">
        <v>25426</v>
      </c>
      <c r="B197" s="11" t="s">
        <v>22</v>
      </c>
      <c r="C197" s="11" t="s">
        <v>38</v>
      </c>
      <c r="D197" s="11">
        <v>233.83</v>
      </c>
      <c r="E197" s="11">
        <v>35</v>
      </c>
      <c r="F197" s="11">
        <v>8184.05</v>
      </c>
      <c r="G197" s="12">
        <v>45637</v>
      </c>
      <c r="H197" s="12">
        <v>45427</v>
      </c>
      <c r="I197" t="e">
        <f t="shared" si="3"/>
        <v>#NUM!</v>
      </c>
    </row>
    <row r="198" spans="1:9" x14ac:dyDescent="0.3">
      <c r="A198" s="11">
        <v>74088</v>
      </c>
      <c r="B198" s="11" t="s">
        <v>16</v>
      </c>
      <c r="C198" s="11" t="s">
        <v>46</v>
      </c>
      <c r="D198" s="11">
        <v>617.33000000000004</v>
      </c>
      <c r="E198" s="11">
        <v>47</v>
      </c>
      <c r="F198" s="11">
        <v>29014.51</v>
      </c>
      <c r="G198" s="12">
        <v>45167</v>
      </c>
      <c r="H198" s="12">
        <v>45634</v>
      </c>
      <c r="I198">
        <f t="shared" si="3"/>
        <v>1</v>
      </c>
    </row>
    <row r="199" spans="1:9" x14ac:dyDescent="0.3">
      <c r="A199" s="11">
        <v>70680</v>
      </c>
      <c r="B199" s="11" t="s">
        <v>12</v>
      </c>
      <c r="C199" s="11" t="s">
        <v>71</v>
      </c>
      <c r="D199" s="11">
        <v>870.6</v>
      </c>
      <c r="E199" s="11">
        <v>44</v>
      </c>
      <c r="F199" s="11">
        <v>38306.400000000001</v>
      </c>
      <c r="G199" s="12">
        <v>45026</v>
      </c>
      <c r="H199" s="12">
        <v>45272</v>
      </c>
      <c r="I199">
        <f t="shared" si="3"/>
        <v>1</v>
      </c>
    </row>
    <row r="200" spans="1:9" x14ac:dyDescent="0.3">
      <c r="A200" s="11">
        <v>26058</v>
      </c>
      <c r="B200" s="11" t="s">
        <v>12</v>
      </c>
      <c r="C200" s="11" t="s">
        <v>64</v>
      </c>
      <c r="D200" s="11">
        <v>796.51</v>
      </c>
      <c r="E200" s="11">
        <v>38</v>
      </c>
      <c r="F200" s="11">
        <v>30267.38</v>
      </c>
      <c r="G200" s="12">
        <v>44978</v>
      </c>
      <c r="H200" s="12">
        <v>45528</v>
      </c>
      <c r="I200">
        <f t="shared" si="3"/>
        <v>1</v>
      </c>
    </row>
    <row r="201" spans="1:9" x14ac:dyDescent="0.3">
      <c r="A201" s="11">
        <v>37755</v>
      </c>
      <c r="B201" s="11" t="s">
        <v>23</v>
      </c>
      <c r="C201" s="11" t="s">
        <v>41</v>
      </c>
      <c r="D201" s="11">
        <v>110.41</v>
      </c>
      <c r="E201" s="11">
        <v>48</v>
      </c>
      <c r="F201" s="11">
        <v>5299.68</v>
      </c>
      <c r="G201" s="12">
        <v>45319</v>
      </c>
      <c r="H201" s="12">
        <v>45421</v>
      </c>
      <c r="I201">
        <f t="shared" si="3"/>
        <v>1</v>
      </c>
    </row>
    <row r="202" spans="1:9" x14ac:dyDescent="0.3">
      <c r="A202" s="11">
        <v>47420</v>
      </c>
      <c r="B202" s="11" t="s">
        <v>21</v>
      </c>
      <c r="C202" s="11" t="s">
        <v>44</v>
      </c>
      <c r="D202" s="11">
        <v>654.4</v>
      </c>
      <c r="E202" s="11">
        <v>49</v>
      </c>
      <c r="F202" s="11">
        <v>32065.599999999999</v>
      </c>
      <c r="G202" s="12">
        <v>44966</v>
      </c>
      <c r="H202" s="12">
        <v>45576</v>
      </c>
      <c r="I202">
        <f t="shared" si="3"/>
        <v>1</v>
      </c>
    </row>
    <row r="203" spans="1:9" x14ac:dyDescent="0.3">
      <c r="A203" s="11">
        <v>10721</v>
      </c>
      <c r="B203" s="11" t="s">
        <v>8</v>
      </c>
      <c r="C203" s="11" t="s">
        <v>61</v>
      </c>
      <c r="D203" s="11">
        <v>705.68</v>
      </c>
      <c r="E203" s="11">
        <v>13</v>
      </c>
      <c r="F203" s="11">
        <v>9173.84</v>
      </c>
      <c r="G203" s="12">
        <v>45331</v>
      </c>
      <c r="H203" s="12">
        <v>45515</v>
      </c>
      <c r="I203">
        <f t="shared" si="3"/>
        <v>1</v>
      </c>
    </row>
    <row r="204" spans="1:9" x14ac:dyDescent="0.3">
      <c r="A204" s="11">
        <v>30177</v>
      </c>
      <c r="B204" s="11" t="s">
        <v>27</v>
      </c>
      <c r="C204" s="11" t="s">
        <v>67</v>
      </c>
      <c r="D204" s="11">
        <v>402.36</v>
      </c>
      <c r="E204" s="11">
        <v>15</v>
      </c>
      <c r="F204" s="11">
        <v>6035.4</v>
      </c>
      <c r="G204" s="12">
        <v>45636</v>
      </c>
      <c r="H204" s="12">
        <v>45021</v>
      </c>
      <c r="I204" t="e">
        <f t="shared" si="3"/>
        <v>#NUM!</v>
      </c>
    </row>
    <row r="205" spans="1:9" x14ac:dyDescent="0.3">
      <c r="A205" s="11">
        <v>90314</v>
      </c>
      <c r="B205" s="11" t="s">
        <v>15</v>
      </c>
      <c r="C205" s="11" t="s">
        <v>46</v>
      </c>
      <c r="D205" s="11">
        <v>617.33000000000004</v>
      </c>
      <c r="E205" s="11">
        <v>23</v>
      </c>
      <c r="F205" s="11">
        <v>14198.59</v>
      </c>
      <c r="G205" s="12">
        <v>45155</v>
      </c>
      <c r="H205" s="12">
        <v>44947</v>
      </c>
      <c r="I205" t="e">
        <f t="shared" si="3"/>
        <v>#NUM!</v>
      </c>
    </row>
    <row r="206" spans="1:9" x14ac:dyDescent="0.3">
      <c r="A206" s="11">
        <v>99113</v>
      </c>
      <c r="B206" s="11" t="s">
        <v>18</v>
      </c>
      <c r="C206" s="11" t="s">
        <v>70</v>
      </c>
      <c r="D206" s="11">
        <v>430.1</v>
      </c>
      <c r="E206" s="11">
        <v>37</v>
      </c>
      <c r="F206" s="11">
        <v>15913.7</v>
      </c>
      <c r="G206" s="12">
        <v>45311</v>
      </c>
      <c r="H206" s="12">
        <v>45521</v>
      </c>
      <c r="I206">
        <f t="shared" si="3"/>
        <v>1</v>
      </c>
    </row>
    <row r="207" spans="1:9" x14ac:dyDescent="0.3">
      <c r="A207" s="11">
        <v>69340</v>
      </c>
      <c r="B207" s="11" t="s">
        <v>25</v>
      </c>
      <c r="C207" s="11" t="s">
        <v>72</v>
      </c>
      <c r="D207" s="11">
        <v>913.18</v>
      </c>
      <c r="E207" s="11">
        <v>4</v>
      </c>
      <c r="F207" s="11">
        <v>3652.72</v>
      </c>
      <c r="G207" s="12">
        <v>45492</v>
      </c>
      <c r="H207" s="12">
        <v>45197</v>
      </c>
      <c r="I207" t="e">
        <f t="shared" si="3"/>
        <v>#NUM!</v>
      </c>
    </row>
    <row r="208" spans="1:9" x14ac:dyDescent="0.3">
      <c r="A208" s="11">
        <v>62410</v>
      </c>
      <c r="B208" s="11" t="s">
        <v>12</v>
      </c>
      <c r="C208" s="11" t="s">
        <v>57</v>
      </c>
      <c r="D208" s="11">
        <v>404.9</v>
      </c>
      <c r="E208" s="11">
        <v>34</v>
      </c>
      <c r="F208" s="11">
        <v>13766.6</v>
      </c>
      <c r="G208" s="12">
        <v>45307</v>
      </c>
      <c r="H208" s="12">
        <v>45023</v>
      </c>
      <c r="I208" t="e">
        <f t="shared" si="3"/>
        <v>#NUM!</v>
      </c>
    </row>
    <row r="209" spans="1:9" x14ac:dyDescent="0.3">
      <c r="A209" s="11">
        <v>35666</v>
      </c>
      <c r="B209" s="11" t="s">
        <v>11</v>
      </c>
      <c r="C209" s="11" t="s">
        <v>76</v>
      </c>
      <c r="D209" s="11">
        <v>95.12</v>
      </c>
      <c r="E209" s="11">
        <v>48</v>
      </c>
      <c r="F209" s="11">
        <v>4565.76</v>
      </c>
      <c r="G209" s="12">
        <v>45547</v>
      </c>
      <c r="H209" s="12">
        <v>45407</v>
      </c>
      <c r="I209" t="e">
        <f t="shared" si="3"/>
        <v>#NUM!</v>
      </c>
    </row>
    <row r="210" spans="1:9" x14ac:dyDescent="0.3">
      <c r="A210" s="11">
        <v>68976</v>
      </c>
      <c r="B210" s="11" t="s">
        <v>19</v>
      </c>
      <c r="C210" s="11" t="s">
        <v>73</v>
      </c>
      <c r="D210" s="11">
        <v>890.84</v>
      </c>
      <c r="E210" s="11">
        <v>33</v>
      </c>
      <c r="F210" s="11">
        <v>29397.72</v>
      </c>
      <c r="G210" s="12">
        <v>45589</v>
      </c>
      <c r="H210" s="12">
        <v>45313</v>
      </c>
      <c r="I210" t="e">
        <f t="shared" si="3"/>
        <v>#NUM!</v>
      </c>
    </row>
    <row r="211" spans="1:9" x14ac:dyDescent="0.3">
      <c r="A211" s="11">
        <v>75236</v>
      </c>
      <c r="B211" s="11" t="s">
        <v>19</v>
      </c>
      <c r="C211" s="11" t="s">
        <v>46</v>
      </c>
      <c r="D211" s="11">
        <v>617.33000000000004</v>
      </c>
      <c r="E211" s="11">
        <v>7</v>
      </c>
      <c r="F211" s="11">
        <v>4321.3100000000004</v>
      </c>
      <c r="G211" s="12">
        <v>45070</v>
      </c>
      <c r="H211" s="12">
        <v>45115</v>
      </c>
      <c r="I211">
        <f t="shared" si="3"/>
        <v>1</v>
      </c>
    </row>
    <row r="212" spans="1:9" x14ac:dyDescent="0.3">
      <c r="A212" s="11">
        <v>52110</v>
      </c>
      <c r="B212" s="11" t="s">
        <v>15</v>
      </c>
      <c r="C212" s="11" t="s">
        <v>50</v>
      </c>
      <c r="D212" s="11">
        <v>468.95</v>
      </c>
      <c r="E212" s="11">
        <v>3</v>
      </c>
      <c r="F212" s="11">
        <v>1406.85</v>
      </c>
      <c r="G212" s="12">
        <v>45211</v>
      </c>
      <c r="H212" s="12">
        <v>45010</v>
      </c>
      <c r="I212" t="e">
        <f t="shared" si="3"/>
        <v>#NUM!</v>
      </c>
    </row>
    <row r="213" spans="1:9" x14ac:dyDescent="0.3">
      <c r="A213" s="11">
        <v>33083</v>
      </c>
      <c r="B213" s="11" t="s">
        <v>25</v>
      </c>
      <c r="C213" s="11" t="s">
        <v>68</v>
      </c>
      <c r="D213" s="11">
        <v>795.19</v>
      </c>
      <c r="E213" s="11">
        <v>44</v>
      </c>
      <c r="F213" s="11">
        <v>34988.36</v>
      </c>
      <c r="G213" s="12">
        <v>45428</v>
      </c>
      <c r="H213" s="12">
        <v>45017</v>
      </c>
      <c r="I213" t="e">
        <f t="shared" si="3"/>
        <v>#NUM!</v>
      </c>
    </row>
    <row r="214" spans="1:9" x14ac:dyDescent="0.3">
      <c r="A214" s="11">
        <v>89713</v>
      </c>
      <c r="B214" s="11" t="s">
        <v>23</v>
      </c>
      <c r="C214" s="11" t="s">
        <v>58</v>
      </c>
      <c r="D214" s="11">
        <v>988.73</v>
      </c>
      <c r="E214" s="11">
        <v>29</v>
      </c>
      <c r="F214" s="11">
        <v>28673.17</v>
      </c>
      <c r="G214" s="12">
        <v>45525</v>
      </c>
      <c r="H214" s="12">
        <v>45482</v>
      </c>
      <c r="I214" t="e">
        <f t="shared" si="3"/>
        <v>#NUM!</v>
      </c>
    </row>
    <row r="215" spans="1:9" x14ac:dyDescent="0.3">
      <c r="A215" s="11">
        <v>84405</v>
      </c>
      <c r="B215" s="11" t="s">
        <v>11</v>
      </c>
      <c r="C215" s="11" t="s">
        <v>28</v>
      </c>
      <c r="D215" s="11">
        <v>855.99</v>
      </c>
      <c r="E215" s="11">
        <v>42</v>
      </c>
      <c r="F215" s="11">
        <v>35951.58</v>
      </c>
      <c r="G215" s="12">
        <v>45148</v>
      </c>
      <c r="H215" s="12">
        <v>45340</v>
      </c>
      <c r="I215">
        <f t="shared" si="3"/>
        <v>1</v>
      </c>
    </row>
    <row r="216" spans="1:9" x14ac:dyDescent="0.3">
      <c r="A216" s="11">
        <v>36499</v>
      </c>
      <c r="B216" s="11" t="s">
        <v>20</v>
      </c>
      <c r="C216" s="11" t="s">
        <v>69</v>
      </c>
      <c r="D216" s="11">
        <v>158.66999999999999</v>
      </c>
      <c r="E216" s="11">
        <v>41</v>
      </c>
      <c r="F216" s="11">
        <v>6505.47</v>
      </c>
      <c r="G216" s="12">
        <v>45517</v>
      </c>
      <c r="H216" s="12">
        <v>45321</v>
      </c>
      <c r="I216" t="e">
        <f t="shared" si="3"/>
        <v>#NUM!</v>
      </c>
    </row>
    <row r="217" spans="1:9" x14ac:dyDescent="0.3">
      <c r="A217" s="11">
        <v>68552</v>
      </c>
      <c r="B217" s="11" t="s">
        <v>27</v>
      </c>
      <c r="C217" s="11" t="s">
        <v>36</v>
      </c>
      <c r="D217" s="11">
        <v>596.97</v>
      </c>
      <c r="E217" s="11">
        <v>37</v>
      </c>
      <c r="F217" s="11">
        <v>22087.89</v>
      </c>
      <c r="G217" s="12">
        <v>45317</v>
      </c>
      <c r="H217" s="12">
        <v>45466</v>
      </c>
      <c r="I217">
        <f t="shared" si="3"/>
        <v>1</v>
      </c>
    </row>
    <row r="218" spans="1:9" x14ac:dyDescent="0.3">
      <c r="A218" s="11">
        <v>94922</v>
      </c>
      <c r="B218" s="11" t="s">
        <v>17</v>
      </c>
      <c r="C218" s="11" t="s">
        <v>36</v>
      </c>
      <c r="D218" s="11">
        <v>596.97</v>
      </c>
      <c r="E218" s="11">
        <v>12</v>
      </c>
      <c r="F218" s="11">
        <v>7163.64</v>
      </c>
      <c r="G218" s="12">
        <v>45673</v>
      </c>
      <c r="H218" s="12">
        <v>45150</v>
      </c>
      <c r="I218" t="e">
        <f t="shared" si="3"/>
        <v>#NUM!</v>
      </c>
    </row>
    <row r="219" spans="1:9" x14ac:dyDescent="0.3">
      <c r="A219" s="11">
        <v>11629</v>
      </c>
      <c r="B219" s="11" t="s">
        <v>16</v>
      </c>
      <c r="C219" s="11" t="s">
        <v>77</v>
      </c>
      <c r="D219" s="11">
        <v>761.92</v>
      </c>
      <c r="E219" s="11">
        <v>32</v>
      </c>
      <c r="F219" s="11">
        <v>24381.439999999999</v>
      </c>
      <c r="G219" s="12">
        <v>45371</v>
      </c>
      <c r="H219" s="12">
        <v>45053</v>
      </c>
      <c r="I219" t="e">
        <f t="shared" si="3"/>
        <v>#NUM!</v>
      </c>
    </row>
    <row r="220" spans="1:9" x14ac:dyDescent="0.3">
      <c r="A220" s="11">
        <v>37968</v>
      </c>
      <c r="B220" s="11" t="s">
        <v>23</v>
      </c>
      <c r="C220" s="11" t="s">
        <v>33</v>
      </c>
      <c r="D220" s="11">
        <v>622.16</v>
      </c>
      <c r="E220" s="11">
        <v>7</v>
      </c>
      <c r="F220" s="11">
        <v>4355.12</v>
      </c>
      <c r="G220" s="12">
        <v>45482</v>
      </c>
      <c r="H220" s="12">
        <v>45489</v>
      </c>
      <c r="I220">
        <f t="shared" si="3"/>
        <v>0</v>
      </c>
    </row>
    <row r="221" spans="1:9" x14ac:dyDescent="0.3">
      <c r="A221" s="11">
        <v>89999</v>
      </c>
      <c r="B221" s="11" t="s">
        <v>24</v>
      </c>
      <c r="C221" s="11" t="s">
        <v>39</v>
      </c>
      <c r="D221" s="11">
        <v>988.47</v>
      </c>
      <c r="E221" s="11">
        <v>36</v>
      </c>
      <c r="F221" s="11">
        <v>35584.92</v>
      </c>
      <c r="G221" s="12">
        <v>45403</v>
      </c>
      <c r="H221" s="12">
        <v>45175</v>
      </c>
      <c r="I221" t="e">
        <f t="shared" si="3"/>
        <v>#NUM!</v>
      </c>
    </row>
    <row r="222" spans="1:9" x14ac:dyDescent="0.3">
      <c r="A222" s="11">
        <v>19036</v>
      </c>
      <c r="B222" s="11" t="s">
        <v>23</v>
      </c>
      <c r="C222" s="11" t="s">
        <v>49</v>
      </c>
      <c r="D222" s="11">
        <v>534.77</v>
      </c>
      <c r="E222" s="11">
        <v>4</v>
      </c>
      <c r="F222" s="11">
        <v>2139.08</v>
      </c>
      <c r="G222" s="12">
        <v>45302</v>
      </c>
      <c r="H222" s="12">
        <v>45355</v>
      </c>
      <c r="I222">
        <f t="shared" si="3"/>
        <v>1</v>
      </c>
    </row>
    <row r="223" spans="1:9" x14ac:dyDescent="0.3">
      <c r="A223" s="11">
        <v>72336</v>
      </c>
      <c r="B223" s="11" t="s">
        <v>9</v>
      </c>
      <c r="C223" s="11" t="s">
        <v>34</v>
      </c>
      <c r="D223" s="11">
        <v>222.47</v>
      </c>
      <c r="E223" s="11">
        <v>9</v>
      </c>
      <c r="F223" s="11">
        <v>2002.23</v>
      </c>
      <c r="G223" s="12">
        <v>45080</v>
      </c>
      <c r="H223" s="12">
        <v>45604</v>
      </c>
      <c r="I223">
        <f t="shared" si="3"/>
        <v>1</v>
      </c>
    </row>
    <row r="224" spans="1:9" x14ac:dyDescent="0.3">
      <c r="A224" s="11">
        <v>56056</v>
      </c>
      <c r="B224" s="11" t="s">
        <v>13</v>
      </c>
      <c r="C224" s="11" t="s">
        <v>55</v>
      </c>
      <c r="D224" s="11">
        <v>399.32</v>
      </c>
      <c r="E224" s="11">
        <v>21</v>
      </c>
      <c r="F224" s="11">
        <v>8385.7199999999993</v>
      </c>
      <c r="G224" s="12">
        <v>45186</v>
      </c>
      <c r="H224" s="12">
        <v>45426</v>
      </c>
      <c r="I224">
        <f t="shared" si="3"/>
        <v>1</v>
      </c>
    </row>
    <row r="225" spans="1:9" x14ac:dyDescent="0.3">
      <c r="A225" s="11">
        <v>71004</v>
      </c>
      <c r="B225" s="11" t="s">
        <v>9</v>
      </c>
      <c r="C225" s="11" t="s">
        <v>58</v>
      </c>
      <c r="D225" s="11">
        <v>988.73</v>
      </c>
      <c r="E225" s="11">
        <v>1</v>
      </c>
      <c r="F225" s="11">
        <v>988.73</v>
      </c>
      <c r="G225" s="12">
        <v>45346</v>
      </c>
      <c r="H225" s="12">
        <v>45284</v>
      </c>
      <c r="I225" t="e">
        <f t="shared" si="3"/>
        <v>#NUM!</v>
      </c>
    </row>
    <row r="226" spans="1:9" x14ac:dyDescent="0.3">
      <c r="A226" s="11">
        <v>43835</v>
      </c>
      <c r="B226" s="11" t="s">
        <v>10</v>
      </c>
      <c r="C226" s="11" t="s">
        <v>71</v>
      </c>
      <c r="D226" s="11">
        <v>870.6</v>
      </c>
      <c r="E226" s="11">
        <v>14</v>
      </c>
      <c r="F226" s="11">
        <v>12188.4</v>
      </c>
      <c r="G226" s="12">
        <v>45036</v>
      </c>
      <c r="H226" s="12">
        <v>45074</v>
      </c>
      <c r="I226">
        <f t="shared" si="3"/>
        <v>1</v>
      </c>
    </row>
    <row r="227" spans="1:9" x14ac:dyDescent="0.3">
      <c r="A227" s="11">
        <v>99997</v>
      </c>
      <c r="B227" s="11" t="s">
        <v>16</v>
      </c>
      <c r="C227" s="11" t="s">
        <v>71</v>
      </c>
      <c r="D227" s="11">
        <v>870.6</v>
      </c>
      <c r="E227" s="11">
        <v>18</v>
      </c>
      <c r="F227" s="11">
        <v>15670.8</v>
      </c>
      <c r="G227" s="12">
        <v>45674</v>
      </c>
      <c r="H227" s="12">
        <v>45466</v>
      </c>
      <c r="I227" t="e">
        <f t="shared" si="3"/>
        <v>#NUM!</v>
      </c>
    </row>
    <row r="228" spans="1:9" x14ac:dyDescent="0.3">
      <c r="A228" s="11">
        <v>18253</v>
      </c>
      <c r="B228" s="11" t="s">
        <v>17</v>
      </c>
      <c r="C228" s="11" t="s">
        <v>50</v>
      </c>
      <c r="D228" s="11">
        <v>468.95</v>
      </c>
      <c r="E228" s="11">
        <v>43</v>
      </c>
      <c r="F228" s="11">
        <v>20164.849999999999</v>
      </c>
      <c r="G228" s="12">
        <v>45659</v>
      </c>
      <c r="H228" s="12">
        <v>45058</v>
      </c>
      <c r="I228" t="e">
        <f t="shared" si="3"/>
        <v>#NUM!</v>
      </c>
    </row>
    <row r="229" spans="1:9" x14ac:dyDescent="0.3">
      <c r="A229" s="11">
        <v>11475</v>
      </c>
      <c r="B229" s="11" t="s">
        <v>21</v>
      </c>
      <c r="C229" s="11" t="s">
        <v>71</v>
      </c>
      <c r="D229" s="11">
        <v>870.6</v>
      </c>
      <c r="E229" s="11">
        <v>16</v>
      </c>
      <c r="F229" s="11">
        <v>13929.6</v>
      </c>
      <c r="G229" s="12">
        <v>45239</v>
      </c>
      <c r="H229" s="12">
        <v>45036</v>
      </c>
      <c r="I229" t="e">
        <f t="shared" si="3"/>
        <v>#NUM!</v>
      </c>
    </row>
    <row r="230" spans="1:9" x14ac:dyDescent="0.3">
      <c r="A230" s="11">
        <v>27871</v>
      </c>
      <c r="B230" s="11" t="s">
        <v>13</v>
      </c>
      <c r="C230" s="11" t="s">
        <v>28</v>
      </c>
      <c r="D230" s="11">
        <v>855.99</v>
      </c>
      <c r="E230" s="11">
        <v>2</v>
      </c>
      <c r="F230" s="11">
        <v>1711.98</v>
      </c>
      <c r="G230" s="12">
        <v>45233</v>
      </c>
      <c r="H230" s="12">
        <v>45280</v>
      </c>
      <c r="I230">
        <f t="shared" si="3"/>
        <v>1</v>
      </c>
    </row>
    <row r="231" spans="1:9" x14ac:dyDescent="0.3">
      <c r="A231" s="11">
        <v>95984</v>
      </c>
      <c r="B231" s="11" t="s">
        <v>17</v>
      </c>
      <c r="C231" s="11" t="s">
        <v>75</v>
      </c>
      <c r="D231" s="11">
        <v>325</v>
      </c>
      <c r="E231" s="11">
        <v>38</v>
      </c>
      <c r="F231" s="11">
        <v>12350</v>
      </c>
      <c r="G231" s="12">
        <v>45411</v>
      </c>
      <c r="H231" s="12">
        <v>45229</v>
      </c>
      <c r="I231" t="e">
        <f t="shared" si="3"/>
        <v>#NUM!</v>
      </c>
    </row>
    <row r="232" spans="1:9" x14ac:dyDescent="0.3">
      <c r="A232" s="11">
        <v>44891</v>
      </c>
      <c r="B232" s="11" t="s">
        <v>9</v>
      </c>
      <c r="C232" s="11" t="s">
        <v>35</v>
      </c>
      <c r="D232" s="11">
        <v>101.12</v>
      </c>
      <c r="E232" s="11">
        <v>14</v>
      </c>
      <c r="F232" s="11">
        <v>1415.68</v>
      </c>
      <c r="G232" s="12">
        <v>45539</v>
      </c>
      <c r="H232" s="12">
        <v>45467</v>
      </c>
      <c r="I232" t="e">
        <f t="shared" si="3"/>
        <v>#NUM!</v>
      </c>
    </row>
    <row r="233" spans="1:9" x14ac:dyDescent="0.3">
      <c r="A233" s="11">
        <v>96531</v>
      </c>
      <c r="B233" s="11" t="s">
        <v>22</v>
      </c>
      <c r="C233" s="11" t="s">
        <v>60</v>
      </c>
      <c r="D233" s="11">
        <v>184.57</v>
      </c>
      <c r="E233" s="11">
        <v>5</v>
      </c>
      <c r="F233" s="11">
        <v>922.85</v>
      </c>
      <c r="G233" s="12">
        <v>45375</v>
      </c>
      <c r="H233" s="12">
        <v>44975</v>
      </c>
      <c r="I233" t="e">
        <f t="shared" si="3"/>
        <v>#NUM!</v>
      </c>
    </row>
    <row r="234" spans="1:9" x14ac:dyDescent="0.3">
      <c r="A234" s="11">
        <v>27212</v>
      </c>
      <c r="B234" s="11" t="s">
        <v>20</v>
      </c>
      <c r="C234" s="11" t="s">
        <v>63</v>
      </c>
      <c r="D234" s="11">
        <v>611.66</v>
      </c>
      <c r="E234" s="11">
        <v>10</v>
      </c>
      <c r="F234" s="11">
        <v>6116.6</v>
      </c>
      <c r="G234" s="12">
        <v>45577</v>
      </c>
      <c r="H234" s="12">
        <v>45258</v>
      </c>
      <c r="I234" t="e">
        <f t="shared" si="3"/>
        <v>#NUM!</v>
      </c>
    </row>
    <row r="235" spans="1:9" x14ac:dyDescent="0.3">
      <c r="A235" s="11">
        <v>87708</v>
      </c>
      <c r="B235" s="11" t="s">
        <v>10</v>
      </c>
      <c r="C235" s="11" t="s">
        <v>45</v>
      </c>
      <c r="D235" s="11">
        <v>366.3</v>
      </c>
      <c r="E235" s="11">
        <v>32</v>
      </c>
      <c r="F235" s="11">
        <v>11721.6</v>
      </c>
      <c r="G235" s="12">
        <v>45392</v>
      </c>
      <c r="H235" s="12">
        <v>45011</v>
      </c>
      <c r="I235" t="e">
        <f t="shared" si="3"/>
        <v>#NUM!</v>
      </c>
    </row>
    <row r="236" spans="1:9" x14ac:dyDescent="0.3">
      <c r="A236" s="11">
        <v>19165</v>
      </c>
      <c r="B236" s="11" t="s">
        <v>13</v>
      </c>
      <c r="C236" s="11" t="s">
        <v>40</v>
      </c>
      <c r="D236" s="11">
        <v>875.47</v>
      </c>
      <c r="E236" s="11">
        <v>32</v>
      </c>
      <c r="F236" s="11">
        <v>28015.040000000001</v>
      </c>
      <c r="G236" s="12">
        <v>45211</v>
      </c>
      <c r="H236" s="12">
        <v>45023</v>
      </c>
      <c r="I236" t="e">
        <f t="shared" si="3"/>
        <v>#NUM!</v>
      </c>
    </row>
    <row r="237" spans="1:9" x14ac:dyDescent="0.3">
      <c r="A237" s="11">
        <v>26892</v>
      </c>
      <c r="B237" s="11" t="s">
        <v>15</v>
      </c>
      <c r="C237" s="11" t="s">
        <v>48</v>
      </c>
      <c r="D237" s="11">
        <v>93.68</v>
      </c>
      <c r="E237" s="11">
        <v>38</v>
      </c>
      <c r="F237" s="11">
        <v>3559.84</v>
      </c>
      <c r="G237" s="12">
        <v>45087</v>
      </c>
      <c r="H237" s="12">
        <v>45425</v>
      </c>
      <c r="I237">
        <f t="shared" si="3"/>
        <v>1</v>
      </c>
    </row>
    <row r="238" spans="1:9" x14ac:dyDescent="0.3">
      <c r="A238" s="11">
        <v>17114</v>
      </c>
      <c r="B238" s="11" t="s">
        <v>10</v>
      </c>
      <c r="C238" s="11" t="s">
        <v>45</v>
      </c>
      <c r="D238" s="11">
        <v>366.3</v>
      </c>
      <c r="E238" s="11">
        <v>18</v>
      </c>
      <c r="F238" s="11">
        <v>6593.4</v>
      </c>
      <c r="G238" s="12">
        <v>45172</v>
      </c>
      <c r="H238" s="12">
        <v>45635</v>
      </c>
      <c r="I238">
        <f t="shared" si="3"/>
        <v>1</v>
      </c>
    </row>
    <row r="239" spans="1:9" x14ac:dyDescent="0.3">
      <c r="A239" s="11">
        <v>95125</v>
      </c>
      <c r="B239" s="11" t="s">
        <v>12</v>
      </c>
      <c r="C239" s="11" t="s">
        <v>59</v>
      </c>
      <c r="D239" s="11">
        <v>346.37</v>
      </c>
      <c r="E239" s="11">
        <v>41</v>
      </c>
      <c r="F239" s="11">
        <v>14201.17</v>
      </c>
      <c r="G239" s="12">
        <v>44978</v>
      </c>
      <c r="H239" s="12">
        <v>45076</v>
      </c>
      <c r="I239">
        <f t="shared" si="3"/>
        <v>1</v>
      </c>
    </row>
    <row r="240" spans="1:9" x14ac:dyDescent="0.3">
      <c r="A240" s="11">
        <v>78859</v>
      </c>
      <c r="B240" s="11" t="s">
        <v>11</v>
      </c>
      <c r="C240" s="11" t="s">
        <v>60</v>
      </c>
      <c r="D240" s="11">
        <v>184.57</v>
      </c>
      <c r="E240" s="11">
        <v>50</v>
      </c>
      <c r="F240" s="11">
        <v>9228.5</v>
      </c>
      <c r="G240" s="12">
        <v>45394</v>
      </c>
      <c r="H240" s="12">
        <v>45308</v>
      </c>
      <c r="I240" t="e">
        <f t="shared" si="3"/>
        <v>#NUM!</v>
      </c>
    </row>
    <row r="241" spans="1:9" x14ac:dyDescent="0.3">
      <c r="A241" s="11">
        <v>55987</v>
      </c>
      <c r="B241" s="11" t="s">
        <v>18</v>
      </c>
      <c r="C241" s="11" t="s">
        <v>70</v>
      </c>
      <c r="D241" s="11">
        <v>430.1</v>
      </c>
      <c r="E241" s="11">
        <v>4</v>
      </c>
      <c r="F241" s="11">
        <v>1720.4</v>
      </c>
      <c r="G241" s="12">
        <v>45632</v>
      </c>
      <c r="H241" s="12">
        <v>45212</v>
      </c>
      <c r="I241" t="e">
        <f t="shared" si="3"/>
        <v>#NUM!</v>
      </c>
    </row>
    <row r="242" spans="1:9" x14ac:dyDescent="0.3">
      <c r="A242" s="11">
        <v>63363</v>
      </c>
      <c r="B242" s="11" t="s">
        <v>16</v>
      </c>
      <c r="C242" s="11" t="s">
        <v>71</v>
      </c>
      <c r="D242" s="11">
        <v>870.6</v>
      </c>
      <c r="E242" s="11">
        <v>2</v>
      </c>
      <c r="F242" s="11">
        <v>1741.2</v>
      </c>
      <c r="G242" s="12">
        <v>45582</v>
      </c>
      <c r="H242" s="12">
        <v>45573</v>
      </c>
      <c r="I242" t="e">
        <f t="shared" si="3"/>
        <v>#NUM!</v>
      </c>
    </row>
    <row r="243" spans="1:9" x14ac:dyDescent="0.3">
      <c r="A243" s="11">
        <v>81606</v>
      </c>
      <c r="B243" s="11" t="s">
        <v>14</v>
      </c>
      <c r="C243" s="11" t="s">
        <v>44</v>
      </c>
      <c r="D243" s="11">
        <v>654.4</v>
      </c>
      <c r="E243" s="11">
        <v>7</v>
      </c>
      <c r="F243" s="11">
        <v>4580.8</v>
      </c>
      <c r="G243" s="12">
        <v>45577</v>
      </c>
      <c r="H243" s="12">
        <v>45036</v>
      </c>
      <c r="I243" t="e">
        <f t="shared" si="3"/>
        <v>#NUM!</v>
      </c>
    </row>
    <row r="244" spans="1:9" x14ac:dyDescent="0.3">
      <c r="A244" s="11">
        <v>64613</v>
      </c>
      <c r="B244" s="11" t="s">
        <v>19</v>
      </c>
      <c r="C244" s="11" t="s">
        <v>59</v>
      </c>
      <c r="D244" s="11">
        <v>346.37</v>
      </c>
      <c r="E244" s="11">
        <v>12</v>
      </c>
      <c r="F244" s="11">
        <v>4156.4399999999996</v>
      </c>
      <c r="G244" s="12">
        <v>45003</v>
      </c>
      <c r="H244" s="12">
        <v>44968</v>
      </c>
      <c r="I244" t="e">
        <f t="shared" si="3"/>
        <v>#NUM!</v>
      </c>
    </row>
    <row r="245" spans="1:9" x14ac:dyDescent="0.3">
      <c r="A245" s="11">
        <v>57955</v>
      </c>
      <c r="B245" s="11" t="s">
        <v>17</v>
      </c>
      <c r="C245" s="11" t="s">
        <v>71</v>
      </c>
      <c r="D245" s="11">
        <v>870.6</v>
      </c>
      <c r="E245" s="11">
        <v>2</v>
      </c>
      <c r="F245" s="11">
        <v>1741.2</v>
      </c>
      <c r="G245" s="12">
        <v>45606</v>
      </c>
      <c r="H245" s="12">
        <v>45411</v>
      </c>
      <c r="I245" t="e">
        <f t="shared" si="3"/>
        <v>#NUM!</v>
      </c>
    </row>
    <row r="246" spans="1:9" x14ac:dyDescent="0.3">
      <c r="A246" s="11">
        <v>94143</v>
      </c>
      <c r="B246" s="11" t="s">
        <v>17</v>
      </c>
      <c r="C246" s="11" t="s">
        <v>72</v>
      </c>
      <c r="D246" s="11">
        <v>913.18</v>
      </c>
      <c r="E246" s="11">
        <v>19</v>
      </c>
      <c r="F246" s="11">
        <v>17350.419999999998</v>
      </c>
      <c r="G246" s="12">
        <v>45293</v>
      </c>
      <c r="H246" s="12">
        <v>45054</v>
      </c>
      <c r="I246" t="e">
        <f t="shared" si="3"/>
        <v>#NUM!</v>
      </c>
    </row>
    <row r="247" spans="1:9" x14ac:dyDescent="0.3">
      <c r="A247" s="11">
        <v>69982</v>
      </c>
      <c r="B247" s="11" t="s">
        <v>24</v>
      </c>
      <c r="C247" s="11" t="s">
        <v>69</v>
      </c>
      <c r="D247" s="11">
        <v>158.66999999999999</v>
      </c>
      <c r="E247" s="11">
        <v>43</v>
      </c>
      <c r="F247" s="11">
        <v>6822.81</v>
      </c>
      <c r="G247" s="12">
        <v>45541</v>
      </c>
      <c r="H247" s="12">
        <v>45469</v>
      </c>
      <c r="I247" t="e">
        <f t="shared" si="3"/>
        <v>#NUM!</v>
      </c>
    </row>
    <row r="248" spans="1:9" x14ac:dyDescent="0.3">
      <c r="A248" s="11">
        <v>13847</v>
      </c>
      <c r="B248" s="11" t="s">
        <v>9</v>
      </c>
      <c r="C248" s="11" t="s">
        <v>60</v>
      </c>
      <c r="D248" s="11">
        <v>184.57</v>
      </c>
      <c r="E248" s="11">
        <v>6</v>
      </c>
      <c r="F248" s="11">
        <v>1107.42</v>
      </c>
      <c r="G248" s="12">
        <v>45534</v>
      </c>
      <c r="H248" s="12">
        <v>45161</v>
      </c>
      <c r="I248" t="e">
        <f t="shared" si="3"/>
        <v>#NUM!</v>
      </c>
    </row>
    <row r="249" spans="1:9" x14ac:dyDescent="0.3">
      <c r="A249" s="11">
        <v>83571</v>
      </c>
      <c r="B249" s="11" t="s">
        <v>24</v>
      </c>
      <c r="C249" s="11" t="s">
        <v>47</v>
      </c>
      <c r="D249" s="11">
        <v>682.74</v>
      </c>
      <c r="E249" s="11">
        <v>2</v>
      </c>
      <c r="F249" s="11">
        <v>1365.48</v>
      </c>
      <c r="G249" s="12">
        <v>45119</v>
      </c>
      <c r="H249" s="12">
        <v>45632</v>
      </c>
      <c r="I249">
        <f t="shared" si="3"/>
        <v>1</v>
      </c>
    </row>
    <row r="250" spans="1:9" x14ac:dyDescent="0.3">
      <c r="A250" s="11">
        <v>89925</v>
      </c>
      <c r="B250" s="11" t="s">
        <v>23</v>
      </c>
      <c r="C250" s="11" t="s">
        <v>69</v>
      </c>
      <c r="D250" s="11">
        <v>158.66999999999999</v>
      </c>
      <c r="E250" s="11">
        <v>5</v>
      </c>
      <c r="F250" s="11">
        <v>793.35</v>
      </c>
      <c r="G250" s="12">
        <v>44962</v>
      </c>
      <c r="H250" s="12">
        <v>45615</v>
      </c>
      <c r="I250">
        <f t="shared" si="3"/>
        <v>1</v>
      </c>
    </row>
    <row r="251" spans="1:9" x14ac:dyDescent="0.3">
      <c r="A251" s="11">
        <v>35958</v>
      </c>
      <c r="B251" s="11" t="s">
        <v>12</v>
      </c>
      <c r="C251" s="11" t="s">
        <v>38</v>
      </c>
      <c r="D251" s="11">
        <v>233.83</v>
      </c>
      <c r="E251" s="11">
        <v>9</v>
      </c>
      <c r="F251" s="11">
        <v>2104.4699999999998</v>
      </c>
      <c r="G251" s="12">
        <v>45231</v>
      </c>
      <c r="H251" s="12">
        <v>45249</v>
      </c>
      <c r="I251">
        <f t="shared" si="3"/>
        <v>1</v>
      </c>
    </row>
    <row r="252" spans="1:9" x14ac:dyDescent="0.3">
      <c r="A252" s="11">
        <v>10136</v>
      </c>
      <c r="B252" s="11" t="s">
        <v>19</v>
      </c>
      <c r="C252" s="11" t="s">
        <v>61</v>
      </c>
      <c r="D252" s="11">
        <v>705.68</v>
      </c>
      <c r="E252" s="11">
        <v>13</v>
      </c>
      <c r="F252" s="11">
        <v>9173.84</v>
      </c>
      <c r="G252" s="12">
        <v>45421</v>
      </c>
      <c r="H252" s="12">
        <v>45312</v>
      </c>
      <c r="I252" t="e">
        <f t="shared" si="3"/>
        <v>#NUM!</v>
      </c>
    </row>
    <row r="253" spans="1:9" x14ac:dyDescent="0.3">
      <c r="A253" s="11">
        <v>31853</v>
      </c>
      <c r="B253" s="11" t="s">
        <v>19</v>
      </c>
      <c r="C253" s="11" t="s">
        <v>40</v>
      </c>
      <c r="D253" s="11">
        <v>875.47</v>
      </c>
      <c r="E253" s="11">
        <v>25</v>
      </c>
      <c r="F253" s="11">
        <v>21886.75</v>
      </c>
      <c r="G253" s="12">
        <v>45332</v>
      </c>
      <c r="H253" s="12">
        <v>45109</v>
      </c>
      <c r="I253" t="e">
        <f t="shared" si="3"/>
        <v>#NUM!</v>
      </c>
    </row>
    <row r="254" spans="1:9" x14ac:dyDescent="0.3">
      <c r="A254" s="11">
        <v>75964</v>
      </c>
      <c r="B254" s="11" t="s">
        <v>15</v>
      </c>
      <c r="C254" s="11" t="s">
        <v>49</v>
      </c>
      <c r="D254" s="11">
        <v>534.77</v>
      </c>
      <c r="E254" s="11">
        <v>41</v>
      </c>
      <c r="F254" s="11">
        <v>21925.57</v>
      </c>
      <c r="G254" s="12">
        <v>44988</v>
      </c>
      <c r="H254" s="12">
        <v>45030</v>
      </c>
      <c r="I254">
        <f t="shared" si="3"/>
        <v>1</v>
      </c>
    </row>
    <row r="255" spans="1:9" x14ac:dyDescent="0.3">
      <c r="A255" s="11">
        <v>61124</v>
      </c>
      <c r="B255" s="11" t="s">
        <v>23</v>
      </c>
      <c r="C255" s="11" t="s">
        <v>74</v>
      </c>
      <c r="D255" s="11">
        <v>346.4</v>
      </c>
      <c r="E255" s="11">
        <v>30</v>
      </c>
      <c r="F255" s="11">
        <v>10392</v>
      </c>
      <c r="G255" s="12">
        <v>45386</v>
      </c>
      <c r="H255" s="12">
        <v>45129</v>
      </c>
      <c r="I255" t="e">
        <f t="shared" si="3"/>
        <v>#NUM!</v>
      </c>
    </row>
    <row r="256" spans="1:9" x14ac:dyDescent="0.3">
      <c r="A256" s="11">
        <v>65433</v>
      </c>
      <c r="B256" s="11" t="s">
        <v>25</v>
      </c>
      <c r="C256" s="11" t="s">
        <v>75</v>
      </c>
      <c r="D256" s="11">
        <v>325</v>
      </c>
      <c r="E256" s="11">
        <v>50</v>
      </c>
      <c r="F256" s="11">
        <v>16250</v>
      </c>
      <c r="G256" s="12">
        <v>45453</v>
      </c>
      <c r="H256" s="12">
        <v>45298</v>
      </c>
      <c r="I256" t="e">
        <f t="shared" si="3"/>
        <v>#NUM!</v>
      </c>
    </row>
    <row r="257" spans="1:9" x14ac:dyDescent="0.3">
      <c r="A257" s="11">
        <v>98558</v>
      </c>
      <c r="B257" s="11" t="s">
        <v>20</v>
      </c>
      <c r="C257" s="11" t="s">
        <v>29</v>
      </c>
      <c r="D257" s="11">
        <v>683.98</v>
      </c>
      <c r="E257" s="11">
        <v>27</v>
      </c>
      <c r="F257" s="11">
        <v>18467.46</v>
      </c>
      <c r="G257" s="12">
        <v>45196</v>
      </c>
      <c r="H257" s="12">
        <v>45344</v>
      </c>
      <c r="I257">
        <f t="shared" si="3"/>
        <v>1</v>
      </c>
    </row>
    <row r="258" spans="1:9" x14ac:dyDescent="0.3">
      <c r="A258" s="11">
        <v>80426</v>
      </c>
      <c r="B258" s="11" t="s">
        <v>13</v>
      </c>
      <c r="C258" s="11" t="s">
        <v>63</v>
      </c>
      <c r="D258" s="11">
        <v>611.66</v>
      </c>
      <c r="E258" s="11">
        <v>27</v>
      </c>
      <c r="F258" s="11">
        <v>16514.82</v>
      </c>
      <c r="G258" s="12">
        <v>44965</v>
      </c>
      <c r="H258" s="12">
        <v>45354</v>
      </c>
      <c r="I258">
        <f t="shared" si="3"/>
        <v>1</v>
      </c>
    </row>
    <row r="259" spans="1:9" x14ac:dyDescent="0.3">
      <c r="A259" s="11">
        <v>29425</v>
      </c>
      <c r="B259" s="11" t="s">
        <v>12</v>
      </c>
      <c r="C259" s="11" t="s">
        <v>28</v>
      </c>
      <c r="D259" s="11">
        <v>855.99</v>
      </c>
      <c r="E259" s="11">
        <v>47</v>
      </c>
      <c r="F259" s="11">
        <v>40231.53</v>
      </c>
      <c r="G259" s="12">
        <v>45614</v>
      </c>
      <c r="H259" s="12">
        <v>45608</v>
      </c>
      <c r="I259" t="e">
        <f t="shared" ref="I259:I322" si="4">IF(DATEDIF(G259,H259,"d") &gt; 15,1,0)</f>
        <v>#NUM!</v>
      </c>
    </row>
    <row r="260" spans="1:9" x14ac:dyDescent="0.3">
      <c r="A260" s="11">
        <v>95909</v>
      </c>
      <c r="B260" s="11" t="s">
        <v>9</v>
      </c>
      <c r="C260" s="11" t="s">
        <v>38</v>
      </c>
      <c r="D260" s="11">
        <v>233.83</v>
      </c>
      <c r="E260" s="11">
        <v>43</v>
      </c>
      <c r="F260" s="11">
        <v>10054.69</v>
      </c>
      <c r="G260" s="12">
        <v>45015</v>
      </c>
      <c r="H260" s="12">
        <v>45319</v>
      </c>
      <c r="I260">
        <f t="shared" si="4"/>
        <v>1</v>
      </c>
    </row>
    <row r="261" spans="1:9" x14ac:dyDescent="0.3">
      <c r="A261" s="11">
        <v>92832</v>
      </c>
      <c r="B261" s="11" t="s">
        <v>22</v>
      </c>
      <c r="C261" s="11" t="s">
        <v>52</v>
      </c>
      <c r="D261" s="11">
        <v>323.73</v>
      </c>
      <c r="E261" s="11">
        <v>12</v>
      </c>
      <c r="F261" s="11">
        <v>3884.76</v>
      </c>
      <c r="G261" s="12">
        <v>45315</v>
      </c>
      <c r="H261" s="12">
        <v>45143</v>
      </c>
      <c r="I261" t="e">
        <f t="shared" si="4"/>
        <v>#NUM!</v>
      </c>
    </row>
    <row r="262" spans="1:9" x14ac:dyDescent="0.3">
      <c r="A262" s="11">
        <v>34381</v>
      </c>
      <c r="B262" s="11" t="s">
        <v>17</v>
      </c>
      <c r="C262" s="11" t="s">
        <v>63</v>
      </c>
      <c r="D262" s="11">
        <v>611.66</v>
      </c>
      <c r="E262" s="11">
        <v>22</v>
      </c>
      <c r="F262" s="11">
        <v>13456.52</v>
      </c>
      <c r="G262" s="12">
        <v>45429</v>
      </c>
      <c r="H262" s="12">
        <v>45284</v>
      </c>
      <c r="I262" t="e">
        <f t="shared" si="4"/>
        <v>#NUM!</v>
      </c>
    </row>
    <row r="263" spans="1:9" x14ac:dyDescent="0.3">
      <c r="A263" s="11">
        <v>13161</v>
      </c>
      <c r="B263" s="11" t="s">
        <v>16</v>
      </c>
      <c r="C263" s="11" t="s">
        <v>52</v>
      </c>
      <c r="D263" s="11">
        <v>323.73</v>
      </c>
      <c r="E263" s="11">
        <v>8</v>
      </c>
      <c r="F263" s="11">
        <v>2589.84</v>
      </c>
      <c r="G263" s="12">
        <v>45093</v>
      </c>
      <c r="H263" s="12">
        <v>45623</v>
      </c>
      <c r="I263">
        <f t="shared" si="4"/>
        <v>1</v>
      </c>
    </row>
    <row r="264" spans="1:9" x14ac:dyDescent="0.3">
      <c r="A264" s="11">
        <v>53224</v>
      </c>
      <c r="B264" s="11" t="s">
        <v>18</v>
      </c>
      <c r="C264" s="11" t="s">
        <v>50</v>
      </c>
      <c r="D264" s="11">
        <v>468.95</v>
      </c>
      <c r="E264" s="11">
        <v>25</v>
      </c>
      <c r="F264" s="11">
        <v>11723.75</v>
      </c>
      <c r="G264" s="12">
        <v>44967</v>
      </c>
      <c r="H264" s="12">
        <v>45308</v>
      </c>
      <c r="I264">
        <f t="shared" si="4"/>
        <v>1</v>
      </c>
    </row>
    <row r="265" spans="1:9" x14ac:dyDescent="0.3">
      <c r="A265" s="11">
        <v>81561</v>
      </c>
      <c r="B265" s="11" t="s">
        <v>22</v>
      </c>
      <c r="C265" s="11" t="s">
        <v>39</v>
      </c>
      <c r="D265" s="11">
        <v>988.47</v>
      </c>
      <c r="E265" s="11">
        <v>38</v>
      </c>
      <c r="F265" s="11">
        <v>37561.86</v>
      </c>
      <c r="G265" s="12">
        <v>45015</v>
      </c>
      <c r="H265" s="12">
        <v>45548</v>
      </c>
      <c r="I265">
        <f t="shared" si="4"/>
        <v>1</v>
      </c>
    </row>
    <row r="266" spans="1:9" x14ac:dyDescent="0.3">
      <c r="A266" s="11">
        <v>31223</v>
      </c>
      <c r="B266" s="11" t="s">
        <v>12</v>
      </c>
      <c r="C266" s="11" t="s">
        <v>66</v>
      </c>
      <c r="D266" s="11">
        <v>45.72</v>
      </c>
      <c r="E266" s="11">
        <v>38</v>
      </c>
      <c r="F266" s="11">
        <v>1737.36</v>
      </c>
      <c r="G266" s="12">
        <v>45483</v>
      </c>
      <c r="H266" s="12">
        <v>45479</v>
      </c>
      <c r="I266" t="e">
        <f t="shared" si="4"/>
        <v>#NUM!</v>
      </c>
    </row>
    <row r="267" spans="1:9" x14ac:dyDescent="0.3">
      <c r="A267" s="11">
        <v>15574</v>
      </c>
      <c r="B267" s="11" t="s">
        <v>14</v>
      </c>
      <c r="C267" s="11" t="s">
        <v>39</v>
      </c>
      <c r="D267" s="11">
        <v>988.47</v>
      </c>
      <c r="E267" s="11">
        <v>50</v>
      </c>
      <c r="F267" s="11">
        <v>49423.5</v>
      </c>
      <c r="G267" s="12">
        <v>45338</v>
      </c>
      <c r="H267" s="12">
        <v>45619</v>
      </c>
      <c r="I267">
        <f t="shared" si="4"/>
        <v>1</v>
      </c>
    </row>
    <row r="268" spans="1:9" x14ac:dyDescent="0.3">
      <c r="A268" s="11">
        <v>86898</v>
      </c>
      <c r="B268" s="11" t="s">
        <v>22</v>
      </c>
      <c r="C268" s="11" t="s">
        <v>65</v>
      </c>
      <c r="D268" s="11">
        <v>753.12</v>
      </c>
      <c r="E268" s="11">
        <v>17</v>
      </c>
      <c r="F268" s="11">
        <v>12803.04</v>
      </c>
      <c r="G268" s="12">
        <v>45529</v>
      </c>
      <c r="H268" s="12">
        <v>45593</v>
      </c>
      <c r="I268">
        <f t="shared" si="4"/>
        <v>1</v>
      </c>
    </row>
    <row r="269" spans="1:9" x14ac:dyDescent="0.3">
      <c r="A269" s="11">
        <v>80580</v>
      </c>
      <c r="B269" s="11" t="s">
        <v>24</v>
      </c>
      <c r="C269" s="11" t="s">
        <v>66</v>
      </c>
      <c r="D269" s="11">
        <v>45.72</v>
      </c>
      <c r="E269" s="11">
        <v>44</v>
      </c>
      <c r="F269" s="11">
        <v>2011.68</v>
      </c>
      <c r="G269" s="12">
        <v>45670</v>
      </c>
      <c r="H269" s="12">
        <v>45450</v>
      </c>
      <c r="I269" t="e">
        <f t="shared" si="4"/>
        <v>#NUM!</v>
      </c>
    </row>
    <row r="270" spans="1:9" x14ac:dyDescent="0.3">
      <c r="A270" s="11">
        <v>43415</v>
      </c>
      <c r="B270" s="11" t="s">
        <v>8</v>
      </c>
      <c r="C270" s="11" t="s">
        <v>38</v>
      </c>
      <c r="D270" s="11">
        <v>233.83</v>
      </c>
      <c r="E270" s="11">
        <v>14</v>
      </c>
      <c r="F270" s="11">
        <v>3273.62</v>
      </c>
      <c r="G270" s="12">
        <v>45392</v>
      </c>
      <c r="H270" s="12">
        <v>45629</v>
      </c>
      <c r="I270">
        <f t="shared" si="4"/>
        <v>1</v>
      </c>
    </row>
    <row r="271" spans="1:9" x14ac:dyDescent="0.3">
      <c r="A271" s="11">
        <v>53225</v>
      </c>
      <c r="B271" s="11" t="s">
        <v>12</v>
      </c>
      <c r="C271" s="11" t="s">
        <v>28</v>
      </c>
      <c r="D271" s="11">
        <v>855.99</v>
      </c>
      <c r="E271" s="11">
        <v>37</v>
      </c>
      <c r="F271" s="11">
        <v>31671.63</v>
      </c>
      <c r="G271" s="12">
        <v>45202</v>
      </c>
      <c r="H271" s="12">
        <v>45283</v>
      </c>
      <c r="I271">
        <f t="shared" si="4"/>
        <v>1</v>
      </c>
    </row>
    <row r="272" spans="1:9" x14ac:dyDescent="0.3">
      <c r="A272" s="11">
        <v>16852</v>
      </c>
      <c r="B272" s="11" t="s">
        <v>11</v>
      </c>
      <c r="C272" s="11" t="s">
        <v>44</v>
      </c>
      <c r="D272" s="11">
        <v>654.4</v>
      </c>
      <c r="E272" s="11">
        <v>14</v>
      </c>
      <c r="F272" s="11">
        <v>9161.6</v>
      </c>
      <c r="G272" s="12">
        <v>45519</v>
      </c>
      <c r="H272" s="12">
        <v>45643</v>
      </c>
      <c r="I272">
        <f t="shared" si="4"/>
        <v>1</v>
      </c>
    </row>
    <row r="273" spans="1:9" x14ac:dyDescent="0.3">
      <c r="A273" s="11">
        <v>88004</v>
      </c>
      <c r="B273" s="11" t="s">
        <v>15</v>
      </c>
      <c r="C273" s="11" t="s">
        <v>69</v>
      </c>
      <c r="D273" s="11">
        <v>158.66999999999999</v>
      </c>
      <c r="E273" s="11">
        <v>48</v>
      </c>
      <c r="F273" s="11">
        <v>7616.16</v>
      </c>
      <c r="G273" s="12">
        <v>44960</v>
      </c>
      <c r="H273" s="12">
        <v>45368</v>
      </c>
      <c r="I273">
        <f t="shared" si="4"/>
        <v>1</v>
      </c>
    </row>
    <row r="274" spans="1:9" x14ac:dyDescent="0.3">
      <c r="A274" s="11">
        <v>52932</v>
      </c>
      <c r="B274" s="11" t="s">
        <v>16</v>
      </c>
      <c r="C274" s="11" t="s">
        <v>56</v>
      </c>
      <c r="D274" s="11">
        <v>641.34</v>
      </c>
      <c r="E274" s="11">
        <v>39</v>
      </c>
      <c r="F274" s="11">
        <v>25012.26</v>
      </c>
      <c r="G274" s="12">
        <v>45580</v>
      </c>
      <c r="H274" s="12">
        <v>45565</v>
      </c>
      <c r="I274" t="e">
        <f t="shared" si="4"/>
        <v>#NUM!</v>
      </c>
    </row>
    <row r="275" spans="1:9" x14ac:dyDescent="0.3">
      <c r="A275" s="11">
        <v>31048</v>
      </c>
      <c r="B275" s="11" t="s">
        <v>13</v>
      </c>
      <c r="C275" s="11" t="s">
        <v>66</v>
      </c>
      <c r="D275" s="11">
        <v>45.72</v>
      </c>
      <c r="E275" s="11">
        <v>8</v>
      </c>
      <c r="F275" s="11">
        <v>365.76</v>
      </c>
      <c r="G275" s="12">
        <v>44984</v>
      </c>
      <c r="H275" s="12">
        <v>45626</v>
      </c>
      <c r="I275">
        <f t="shared" si="4"/>
        <v>1</v>
      </c>
    </row>
    <row r="276" spans="1:9" x14ac:dyDescent="0.3">
      <c r="A276" s="11">
        <v>64420</v>
      </c>
      <c r="B276" s="11" t="s">
        <v>8</v>
      </c>
      <c r="C276" s="11" t="s">
        <v>43</v>
      </c>
      <c r="D276" s="11">
        <v>608.37</v>
      </c>
      <c r="E276" s="11">
        <v>24</v>
      </c>
      <c r="F276" s="11">
        <v>14600.88</v>
      </c>
      <c r="G276" s="12">
        <v>45205</v>
      </c>
      <c r="H276" s="12">
        <v>45018</v>
      </c>
      <c r="I276" t="e">
        <f t="shared" si="4"/>
        <v>#NUM!</v>
      </c>
    </row>
    <row r="277" spans="1:9" x14ac:dyDescent="0.3">
      <c r="A277" s="11">
        <v>58217</v>
      </c>
      <c r="B277" s="11" t="s">
        <v>23</v>
      </c>
      <c r="C277" s="11" t="s">
        <v>76</v>
      </c>
      <c r="D277" s="11">
        <v>95.12</v>
      </c>
      <c r="E277" s="11">
        <v>24</v>
      </c>
      <c r="F277" s="11">
        <v>2282.88</v>
      </c>
      <c r="G277" s="12">
        <v>44980</v>
      </c>
      <c r="H277" s="12">
        <v>45544</v>
      </c>
      <c r="I277">
        <f t="shared" si="4"/>
        <v>1</v>
      </c>
    </row>
    <row r="278" spans="1:9" x14ac:dyDescent="0.3">
      <c r="A278" s="11">
        <v>74146</v>
      </c>
      <c r="B278" s="11" t="s">
        <v>23</v>
      </c>
      <c r="C278" s="11" t="s">
        <v>56</v>
      </c>
      <c r="D278" s="11">
        <v>641.34</v>
      </c>
      <c r="E278" s="11">
        <v>48</v>
      </c>
      <c r="F278" s="11">
        <v>30784.32</v>
      </c>
      <c r="G278" s="12">
        <v>45666</v>
      </c>
      <c r="H278" s="12">
        <v>45389</v>
      </c>
      <c r="I278" t="e">
        <f t="shared" si="4"/>
        <v>#NUM!</v>
      </c>
    </row>
    <row r="279" spans="1:9" x14ac:dyDescent="0.3">
      <c r="A279" s="11">
        <v>19893</v>
      </c>
      <c r="B279" s="11" t="s">
        <v>8</v>
      </c>
      <c r="C279" s="11" t="s">
        <v>75</v>
      </c>
      <c r="D279" s="11">
        <v>325</v>
      </c>
      <c r="E279" s="11">
        <v>48</v>
      </c>
      <c r="F279" s="11">
        <v>15600</v>
      </c>
      <c r="G279" s="12">
        <v>45137</v>
      </c>
      <c r="H279" s="12">
        <v>45307</v>
      </c>
      <c r="I279">
        <f t="shared" si="4"/>
        <v>1</v>
      </c>
    </row>
    <row r="280" spans="1:9" x14ac:dyDescent="0.3">
      <c r="A280" s="11">
        <v>59167</v>
      </c>
      <c r="B280" s="11" t="s">
        <v>26</v>
      </c>
      <c r="C280" s="11" t="s">
        <v>75</v>
      </c>
      <c r="D280" s="11">
        <v>325</v>
      </c>
      <c r="E280" s="11">
        <v>13</v>
      </c>
      <c r="F280" s="11">
        <v>4225</v>
      </c>
      <c r="G280" s="12">
        <v>45463</v>
      </c>
      <c r="H280" s="12">
        <v>45579</v>
      </c>
      <c r="I280">
        <f t="shared" si="4"/>
        <v>1</v>
      </c>
    </row>
    <row r="281" spans="1:9" x14ac:dyDescent="0.3">
      <c r="A281" s="11">
        <v>54440</v>
      </c>
      <c r="B281" s="11" t="s">
        <v>13</v>
      </c>
      <c r="C281" s="11" t="s">
        <v>51</v>
      </c>
      <c r="D281" s="11">
        <v>533.15</v>
      </c>
      <c r="E281" s="11">
        <v>47</v>
      </c>
      <c r="F281" s="11">
        <v>25058.05</v>
      </c>
      <c r="G281" s="12">
        <v>45219</v>
      </c>
      <c r="H281" s="12">
        <v>45133</v>
      </c>
      <c r="I281" t="e">
        <f t="shared" si="4"/>
        <v>#NUM!</v>
      </c>
    </row>
    <row r="282" spans="1:9" x14ac:dyDescent="0.3">
      <c r="A282" s="11">
        <v>12947</v>
      </c>
      <c r="B282" s="11" t="s">
        <v>17</v>
      </c>
      <c r="C282" s="11" t="s">
        <v>62</v>
      </c>
      <c r="D282" s="11">
        <v>474.55</v>
      </c>
      <c r="E282" s="11">
        <v>35</v>
      </c>
      <c r="F282" s="11">
        <v>16609.25</v>
      </c>
      <c r="G282" s="12">
        <v>45417</v>
      </c>
      <c r="H282" s="12">
        <v>45024</v>
      </c>
      <c r="I282" t="e">
        <f t="shared" si="4"/>
        <v>#NUM!</v>
      </c>
    </row>
    <row r="283" spans="1:9" x14ac:dyDescent="0.3">
      <c r="A283" s="11">
        <v>56043</v>
      </c>
      <c r="B283" s="11" t="s">
        <v>11</v>
      </c>
      <c r="C283" s="11" t="s">
        <v>48</v>
      </c>
      <c r="D283" s="11">
        <v>93.68</v>
      </c>
      <c r="E283" s="11">
        <v>36</v>
      </c>
      <c r="F283" s="11">
        <v>3372.48</v>
      </c>
      <c r="G283" s="12">
        <v>45156</v>
      </c>
      <c r="H283" s="12">
        <v>44977</v>
      </c>
      <c r="I283" t="e">
        <f t="shared" si="4"/>
        <v>#NUM!</v>
      </c>
    </row>
    <row r="284" spans="1:9" x14ac:dyDescent="0.3">
      <c r="A284" s="11">
        <v>87385</v>
      </c>
      <c r="B284" s="11" t="s">
        <v>15</v>
      </c>
      <c r="C284" s="11" t="s">
        <v>41</v>
      </c>
      <c r="D284" s="11">
        <v>110.41</v>
      </c>
      <c r="E284" s="11">
        <v>1</v>
      </c>
      <c r="F284" s="11">
        <v>110.41</v>
      </c>
      <c r="G284" s="12">
        <v>45394</v>
      </c>
      <c r="H284" s="12">
        <v>44948</v>
      </c>
      <c r="I284" t="e">
        <f t="shared" si="4"/>
        <v>#NUM!</v>
      </c>
    </row>
    <row r="285" spans="1:9" x14ac:dyDescent="0.3">
      <c r="A285" s="11">
        <v>44005</v>
      </c>
      <c r="B285" s="11" t="s">
        <v>11</v>
      </c>
      <c r="C285" s="11" t="s">
        <v>59</v>
      </c>
      <c r="D285" s="11">
        <v>346.37</v>
      </c>
      <c r="E285" s="11">
        <v>38</v>
      </c>
      <c r="F285" s="11">
        <v>13162.06</v>
      </c>
      <c r="G285" s="12">
        <v>45476</v>
      </c>
      <c r="H285" s="12">
        <v>45035</v>
      </c>
      <c r="I285" t="e">
        <f t="shared" si="4"/>
        <v>#NUM!</v>
      </c>
    </row>
    <row r="286" spans="1:9" x14ac:dyDescent="0.3">
      <c r="A286" s="11">
        <v>37715</v>
      </c>
      <c r="B286" s="11" t="s">
        <v>8</v>
      </c>
      <c r="C286" s="11" t="s">
        <v>32</v>
      </c>
      <c r="D286" s="11">
        <v>546.64</v>
      </c>
      <c r="E286" s="11">
        <v>28</v>
      </c>
      <c r="F286" s="11">
        <v>15305.92</v>
      </c>
      <c r="G286" s="12">
        <v>45113</v>
      </c>
      <c r="H286" s="12">
        <v>45043</v>
      </c>
      <c r="I286" t="e">
        <f t="shared" si="4"/>
        <v>#NUM!</v>
      </c>
    </row>
    <row r="287" spans="1:9" x14ac:dyDescent="0.3">
      <c r="A287" s="11">
        <v>26579</v>
      </c>
      <c r="B287" s="11" t="s">
        <v>18</v>
      </c>
      <c r="C287" s="11" t="s">
        <v>42</v>
      </c>
      <c r="D287" s="11">
        <v>112.52</v>
      </c>
      <c r="E287" s="11">
        <v>42</v>
      </c>
      <c r="F287" s="11">
        <v>4725.84</v>
      </c>
      <c r="G287" s="12">
        <v>45268</v>
      </c>
      <c r="H287" s="12">
        <v>45644</v>
      </c>
      <c r="I287">
        <f t="shared" si="4"/>
        <v>1</v>
      </c>
    </row>
    <row r="288" spans="1:9" x14ac:dyDescent="0.3">
      <c r="A288" s="11">
        <v>63907</v>
      </c>
      <c r="B288" s="11" t="s">
        <v>22</v>
      </c>
      <c r="C288" s="11" t="s">
        <v>32</v>
      </c>
      <c r="D288" s="11">
        <v>546.64</v>
      </c>
      <c r="E288" s="11">
        <v>26</v>
      </c>
      <c r="F288" s="11">
        <v>14212.64</v>
      </c>
      <c r="G288" s="12">
        <v>45427</v>
      </c>
      <c r="H288" s="12">
        <v>45099</v>
      </c>
      <c r="I288" t="e">
        <f t="shared" si="4"/>
        <v>#NUM!</v>
      </c>
    </row>
    <row r="289" spans="1:9" x14ac:dyDescent="0.3">
      <c r="A289" s="11">
        <v>32930</v>
      </c>
      <c r="B289" s="11" t="s">
        <v>15</v>
      </c>
      <c r="C289" s="11" t="s">
        <v>77</v>
      </c>
      <c r="D289" s="11">
        <v>761.92</v>
      </c>
      <c r="E289" s="11">
        <v>34</v>
      </c>
      <c r="F289" s="11">
        <v>25905.279999999999</v>
      </c>
      <c r="G289" s="12">
        <v>45505</v>
      </c>
      <c r="H289" s="12">
        <v>45210</v>
      </c>
      <c r="I289" t="e">
        <f t="shared" si="4"/>
        <v>#NUM!</v>
      </c>
    </row>
    <row r="290" spans="1:9" x14ac:dyDescent="0.3">
      <c r="A290" s="11">
        <v>21324</v>
      </c>
      <c r="B290" s="11" t="s">
        <v>25</v>
      </c>
      <c r="C290" s="11" t="s">
        <v>50</v>
      </c>
      <c r="D290" s="11">
        <v>468.95</v>
      </c>
      <c r="E290" s="11">
        <v>24</v>
      </c>
      <c r="F290" s="11">
        <v>11254.8</v>
      </c>
      <c r="G290" s="12">
        <v>45101</v>
      </c>
      <c r="H290" s="12">
        <v>45049</v>
      </c>
      <c r="I290" t="e">
        <f t="shared" si="4"/>
        <v>#NUM!</v>
      </c>
    </row>
    <row r="291" spans="1:9" x14ac:dyDescent="0.3">
      <c r="A291" s="11">
        <v>75629</v>
      </c>
      <c r="B291" s="11" t="s">
        <v>16</v>
      </c>
      <c r="C291" s="11" t="s">
        <v>54</v>
      </c>
      <c r="D291" s="11">
        <v>730.09</v>
      </c>
      <c r="E291" s="11">
        <v>45</v>
      </c>
      <c r="F291" s="11">
        <v>32854.050000000003</v>
      </c>
      <c r="G291" s="12">
        <v>44970</v>
      </c>
      <c r="H291" s="12">
        <v>45110</v>
      </c>
      <c r="I291">
        <f t="shared" si="4"/>
        <v>1</v>
      </c>
    </row>
    <row r="292" spans="1:9" x14ac:dyDescent="0.3">
      <c r="A292" s="11">
        <v>99085</v>
      </c>
      <c r="B292" s="11" t="s">
        <v>8</v>
      </c>
      <c r="C292" s="11" t="s">
        <v>53</v>
      </c>
      <c r="D292" s="11">
        <v>972.24</v>
      </c>
      <c r="E292" s="11">
        <v>44</v>
      </c>
      <c r="F292" s="11">
        <v>42778.559999999998</v>
      </c>
      <c r="G292" s="12">
        <v>45532</v>
      </c>
      <c r="H292" s="12">
        <v>45118</v>
      </c>
      <c r="I292" t="e">
        <f t="shared" si="4"/>
        <v>#NUM!</v>
      </c>
    </row>
    <row r="293" spans="1:9" x14ac:dyDescent="0.3">
      <c r="A293" s="11">
        <v>33584</v>
      </c>
      <c r="B293" s="11" t="s">
        <v>9</v>
      </c>
      <c r="C293" s="11" t="s">
        <v>36</v>
      </c>
      <c r="D293" s="11">
        <v>596.97</v>
      </c>
      <c r="E293" s="11">
        <v>43</v>
      </c>
      <c r="F293" s="11">
        <v>25669.71</v>
      </c>
      <c r="G293" s="12">
        <v>45527</v>
      </c>
      <c r="H293" s="12">
        <v>45067</v>
      </c>
      <c r="I293" t="e">
        <f t="shared" si="4"/>
        <v>#NUM!</v>
      </c>
    </row>
    <row r="294" spans="1:9" x14ac:dyDescent="0.3">
      <c r="A294" s="11">
        <v>78393</v>
      </c>
      <c r="B294" s="11" t="s">
        <v>23</v>
      </c>
      <c r="C294" s="11" t="s">
        <v>37</v>
      </c>
      <c r="D294" s="11">
        <v>796.94</v>
      </c>
      <c r="E294" s="11">
        <v>11</v>
      </c>
      <c r="F294" s="11">
        <v>8766.34</v>
      </c>
      <c r="G294" s="12">
        <v>45304</v>
      </c>
      <c r="H294" s="12">
        <v>45107</v>
      </c>
      <c r="I294" t="e">
        <f t="shared" si="4"/>
        <v>#NUM!</v>
      </c>
    </row>
    <row r="295" spans="1:9" x14ac:dyDescent="0.3">
      <c r="A295" s="11">
        <v>79026</v>
      </c>
      <c r="B295" s="11" t="s">
        <v>22</v>
      </c>
      <c r="C295" s="11" t="s">
        <v>58</v>
      </c>
      <c r="D295" s="11">
        <v>988.73</v>
      </c>
      <c r="E295" s="11">
        <v>46</v>
      </c>
      <c r="F295" s="11">
        <v>45481.58</v>
      </c>
      <c r="G295" s="12">
        <v>45286</v>
      </c>
      <c r="H295" s="12">
        <v>45468</v>
      </c>
      <c r="I295">
        <f t="shared" si="4"/>
        <v>1</v>
      </c>
    </row>
    <row r="296" spans="1:9" x14ac:dyDescent="0.3">
      <c r="A296" s="11">
        <v>56681</v>
      </c>
      <c r="B296" s="11" t="s">
        <v>19</v>
      </c>
      <c r="C296" s="11" t="s">
        <v>29</v>
      </c>
      <c r="D296" s="11">
        <v>683.98</v>
      </c>
      <c r="E296" s="11">
        <v>10</v>
      </c>
      <c r="F296" s="11">
        <v>6839.8</v>
      </c>
      <c r="G296" s="12">
        <v>45406</v>
      </c>
      <c r="H296" s="12">
        <v>44987</v>
      </c>
      <c r="I296" t="e">
        <f t="shared" si="4"/>
        <v>#NUM!</v>
      </c>
    </row>
    <row r="297" spans="1:9" x14ac:dyDescent="0.3">
      <c r="A297" s="11">
        <v>85821</v>
      </c>
      <c r="B297" s="11" t="s">
        <v>8</v>
      </c>
      <c r="C297" s="11" t="s">
        <v>37</v>
      </c>
      <c r="D297" s="11">
        <v>796.94</v>
      </c>
      <c r="E297" s="11">
        <v>15</v>
      </c>
      <c r="F297" s="11">
        <v>11954.1</v>
      </c>
      <c r="G297" s="12">
        <v>45027</v>
      </c>
      <c r="H297" s="12">
        <v>45198</v>
      </c>
      <c r="I297">
        <f t="shared" si="4"/>
        <v>1</v>
      </c>
    </row>
    <row r="298" spans="1:9" x14ac:dyDescent="0.3">
      <c r="A298" s="11">
        <v>50180</v>
      </c>
      <c r="B298" s="11" t="s">
        <v>19</v>
      </c>
      <c r="C298" s="11" t="s">
        <v>49</v>
      </c>
      <c r="D298" s="11">
        <v>534.77</v>
      </c>
      <c r="E298" s="11">
        <v>22</v>
      </c>
      <c r="F298" s="11">
        <v>11764.94</v>
      </c>
      <c r="G298" s="12">
        <v>45462</v>
      </c>
      <c r="H298" s="12">
        <v>45442</v>
      </c>
      <c r="I298" t="e">
        <f t="shared" si="4"/>
        <v>#NUM!</v>
      </c>
    </row>
    <row r="299" spans="1:9" x14ac:dyDescent="0.3">
      <c r="A299" s="11">
        <v>75746</v>
      </c>
      <c r="B299" s="11" t="s">
        <v>8</v>
      </c>
      <c r="C299" s="11" t="s">
        <v>63</v>
      </c>
      <c r="D299" s="11">
        <v>611.66</v>
      </c>
      <c r="E299" s="11">
        <v>39</v>
      </c>
      <c r="F299" s="11">
        <v>23854.74</v>
      </c>
      <c r="G299" s="12">
        <v>45061</v>
      </c>
      <c r="H299" s="12">
        <v>45360</v>
      </c>
      <c r="I299">
        <f t="shared" si="4"/>
        <v>1</v>
      </c>
    </row>
    <row r="300" spans="1:9" x14ac:dyDescent="0.3">
      <c r="A300" s="11">
        <v>22668</v>
      </c>
      <c r="B300" s="11" t="s">
        <v>20</v>
      </c>
      <c r="C300" s="11" t="s">
        <v>36</v>
      </c>
      <c r="D300" s="11">
        <v>596.97</v>
      </c>
      <c r="E300" s="11">
        <v>45</v>
      </c>
      <c r="F300" s="11">
        <v>26863.65</v>
      </c>
      <c r="G300" s="12">
        <v>45547</v>
      </c>
      <c r="H300" s="12">
        <v>45276</v>
      </c>
      <c r="I300" t="e">
        <f t="shared" si="4"/>
        <v>#NUM!</v>
      </c>
    </row>
    <row r="301" spans="1:9" x14ac:dyDescent="0.3">
      <c r="A301" s="11">
        <v>52483</v>
      </c>
      <c r="B301" s="11" t="s">
        <v>10</v>
      </c>
      <c r="C301" s="11" t="s">
        <v>54</v>
      </c>
      <c r="D301" s="11">
        <v>730.09</v>
      </c>
      <c r="E301" s="11">
        <v>37</v>
      </c>
      <c r="F301" s="11">
        <v>27013.33</v>
      </c>
      <c r="G301" s="12">
        <v>44979</v>
      </c>
      <c r="H301" s="12">
        <v>45222</v>
      </c>
      <c r="I301">
        <f t="shared" si="4"/>
        <v>1</v>
      </c>
    </row>
    <row r="302" spans="1:9" x14ac:dyDescent="0.3">
      <c r="A302" s="11">
        <v>56267</v>
      </c>
      <c r="B302" s="11" t="s">
        <v>22</v>
      </c>
      <c r="C302" s="11" t="s">
        <v>70</v>
      </c>
      <c r="D302" s="11">
        <v>430.1</v>
      </c>
      <c r="E302" s="11">
        <v>5</v>
      </c>
      <c r="F302" s="11">
        <v>2150.5</v>
      </c>
      <c r="G302" s="12">
        <v>45444</v>
      </c>
      <c r="H302" s="12">
        <v>45313</v>
      </c>
      <c r="I302" t="e">
        <f t="shared" si="4"/>
        <v>#NUM!</v>
      </c>
    </row>
    <row r="303" spans="1:9" x14ac:dyDescent="0.3">
      <c r="A303" s="11">
        <v>34103</v>
      </c>
      <c r="B303" s="11" t="s">
        <v>9</v>
      </c>
      <c r="C303" s="11" t="s">
        <v>30</v>
      </c>
      <c r="D303" s="11">
        <v>68.05</v>
      </c>
      <c r="E303" s="11">
        <v>17</v>
      </c>
      <c r="F303" s="11">
        <v>1156.8499999999999</v>
      </c>
      <c r="G303" s="12">
        <v>45178</v>
      </c>
      <c r="H303" s="12">
        <v>45270</v>
      </c>
      <c r="I303">
        <f t="shared" si="4"/>
        <v>1</v>
      </c>
    </row>
    <row r="304" spans="1:9" x14ac:dyDescent="0.3">
      <c r="A304" s="11">
        <v>11404</v>
      </c>
      <c r="B304" s="11" t="s">
        <v>15</v>
      </c>
      <c r="C304" s="11" t="s">
        <v>46</v>
      </c>
      <c r="D304" s="11">
        <v>617.33000000000004</v>
      </c>
      <c r="E304" s="11">
        <v>38</v>
      </c>
      <c r="F304" s="11">
        <v>23458.54</v>
      </c>
      <c r="G304" s="12">
        <v>45435</v>
      </c>
      <c r="H304" s="12">
        <v>44947</v>
      </c>
      <c r="I304" t="e">
        <f t="shared" si="4"/>
        <v>#NUM!</v>
      </c>
    </row>
    <row r="305" spans="1:9" x14ac:dyDescent="0.3">
      <c r="A305" s="11">
        <v>86685</v>
      </c>
      <c r="B305" s="11" t="s">
        <v>10</v>
      </c>
      <c r="C305" s="11" t="s">
        <v>60</v>
      </c>
      <c r="D305" s="11">
        <v>184.57</v>
      </c>
      <c r="E305" s="11">
        <v>41</v>
      </c>
      <c r="F305" s="11">
        <v>7567.37</v>
      </c>
      <c r="G305" s="12">
        <v>45611</v>
      </c>
      <c r="H305" s="12">
        <v>44972</v>
      </c>
      <c r="I305" t="e">
        <f t="shared" si="4"/>
        <v>#NUM!</v>
      </c>
    </row>
    <row r="306" spans="1:9" x14ac:dyDescent="0.3">
      <c r="A306" s="11">
        <v>31705</v>
      </c>
      <c r="B306" s="11" t="s">
        <v>24</v>
      </c>
      <c r="C306" s="11" t="s">
        <v>74</v>
      </c>
      <c r="D306" s="11">
        <v>346.4</v>
      </c>
      <c r="E306" s="11">
        <v>24</v>
      </c>
      <c r="F306" s="11">
        <v>8313.6</v>
      </c>
      <c r="G306" s="12">
        <v>45413</v>
      </c>
      <c r="H306" s="12">
        <v>45149</v>
      </c>
      <c r="I306" t="e">
        <f t="shared" si="4"/>
        <v>#NUM!</v>
      </c>
    </row>
    <row r="307" spans="1:9" x14ac:dyDescent="0.3">
      <c r="A307" s="11">
        <v>99954</v>
      </c>
      <c r="B307" s="11" t="s">
        <v>16</v>
      </c>
      <c r="C307" s="11" t="s">
        <v>43</v>
      </c>
      <c r="D307" s="11">
        <v>608.37</v>
      </c>
      <c r="E307" s="11">
        <v>13</v>
      </c>
      <c r="F307" s="11">
        <v>7908.81</v>
      </c>
      <c r="G307" s="12">
        <v>45157</v>
      </c>
      <c r="H307" s="12">
        <v>45310</v>
      </c>
      <c r="I307">
        <f t="shared" si="4"/>
        <v>1</v>
      </c>
    </row>
    <row r="308" spans="1:9" x14ac:dyDescent="0.3">
      <c r="A308" s="11">
        <v>46591</v>
      </c>
      <c r="B308" s="11" t="s">
        <v>23</v>
      </c>
      <c r="C308" s="11" t="s">
        <v>41</v>
      </c>
      <c r="D308" s="11">
        <v>110.41</v>
      </c>
      <c r="E308" s="11">
        <v>28</v>
      </c>
      <c r="F308" s="11">
        <v>3091.48</v>
      </c>
      <c r="G308" s="12">
        <v>45210</v>
      </c>
      <c r="H308" s="12">
        <v>45604</v>
      </c>
      <c r="I308">
        <f t="shared" si="4"/>
        <v>1</v>
      </c>
    </row>
    <row r="309" spans="1:9" x14ac:dyDescent="0.3">
      <c r="A309" s="11">
        <v>21265</v>
      </c>
      <c r="B309" s="11" t="s">
        <v>27</v>
      </c>
      <c r="C309" s="11" t="s">
        <v>62</v>
      </c>
      <c r="D309" s="11">
        <v>474.55</v>
      </c>
      <c r="E309" s="11">
        <v>26</v>
      </c>
      <c r="F309" s="11">
        <v>12338.3</v>
      </c>
      <c r="G309" s="12">
        <v>44967</v>
      </c>
      <c r="H309" s="12">
        <v>45258</v>
      </c>
      <c r="I309">
        <f t="shared" si="4"/>
        <v>1</v>
      </c>
    </row>
    <row r="310" spans="1:9" x14ac:dyDescent="0.3">
      <c r="A310" s="11">
        <v>63638</v>
      </c>
      <c r="B310" s="11" t="s">
        <v>22</v>
      </c>
      <c r="C310" s="11" t="s">
        <v>32</v>
      </c>
      <c r="D310" s="11">
        <v>546.64</v>
      </c>
      <c r="E310" s="11">
        <v>15</v>
      </c>
      <c r="F310" s="11">
        <v>8199.6</v>
      </c>
      <c r="G310" s="12">
        <v>45002</v>
      </c>
      <c r="H310" s="12">
        <v>45303</v>
      </c>
      <c r="I310">
        <f t="shared" si="4"/>
        <v>1</v>
      </c>
    </row>
    <row r="311" spans="1:9" x14ac:dyDescent="0.3">
      <c r="A311" s="11">
        <v>69643</v>
      </c>
      <c r="B311" s="11" t="s">
        <v>14</v>
      </c>
      <c r="C311" s="11" t="s">
        <v>41</v>
      </c>
      <c r="D311" s="11">
        <v>110.41</v>
      </c>
      <c r="E311" s="11">
        <v>1</v>
      </c>
      <c r="F311" s="11">
        <v>110.41</v>
      </c>
      <c r="G311" s="12">
        <v>45044</v>
      </c>
      <c r="H311" s="12">
        <v>45200</v>
      </c>
      <c r="I311">
        <f t="shared" si="4"/>
        <v>1</v>
      </c>
    </row>
    <row r="312" spans="1:9" x14ac:dyDescent="0.3">
      <c r="A312" s="11">
        <v>65276</v>
      </c>
      <c r="B312" s="11" t="s">
        <v>12</v>
      </c>
      <c r="C312" s="11" t="s">
        <v>64</v>
      </c>
      <c r="D312" s="11">
        <v>796.51</v>
      </c>
      <c r="E312" s="11">
        <v>2</v>
      </c>
      <c r="F312" s="11">
        <v>1593.02</v>
      </c>
      <c r="G312" s="12">
        <v>45191</v>
      </c>
      <c r="H312" s="12">
        <v>45475</v>
      </c>
      <c r="I312">
        <f t="shared" si="4"/>
        <v>1</v>
      </c>
    </row>
    <row r="313" spans="1:9" x14ac:dyDescent="0.3">
      <c r="A313" s="11">
        <v>78870</v>
      </c>
      <c r="B313" s="11" t="s">
        <v>27</v>
      </c>
      <c r="C313" s="11" t="s">
        <v>30</v>
      </c>
      <c r="D313" s="11">
        <v>68.05</v>
      </c>
      <c r="E313" s="11">
        <v>9</v>
      </c>
      <c r="F313" s="11">
        <v>612.45000000000005</v>
      </c>
      <c r="G313" s="12">
        <v>45263</v>
      </c>
      <c r="H313" s="12">
        <v>45116</v>
      </c>
      <c r="I313" t="e">
        <f t="shared" si="4"/>
        <v>#NUM!</v>
      </c>
    </row>
    <row r="314" spans="1:9" x14ac:dyDescent="0.3">
      <c r="A314" s="11">
        <v>16249</v>
      </c>
      <c r="B314" s="11" t="s">
        <v>26</v>
      </c>
      <c r="C314" s="11" t="s">
        <v>46</v>
      </c>
      <c r="D314" s="11">
        <v>617.33000000000004</v>
      </c>
      <c r="E314" s="11">
        <v>23</v>
      </c>
      <c r="F314" s="11">
        <v>14198.59</v>
      </c>
      <c r="G314" s="12">
        <v>45420</v>
      </c>
      <c r="H314" s="12">
        <v>45461</v>
      </c>
      <c r="I314">
        <f t="shared" si="4"/>
        <v>1</v>
      </c>
    </row>
    <row r="315" spans="1:9" x14ac:dyDescent="0.3">
      <c r="A315" s="11">
        <v>72661</v>
      </c>
      <c r="B315" s="11" t="s">
        <v>10</v>
      </c>
      <c r="C315" s="11" t="s">
        <v>73</v>
      </c>
      <c r="D315" s="11">
        <v>890.84</v>
      </c>
      <c r="E315" s="11">
        <v>6</v>
      </c>
      <c r="F315" s="11">
        <v>5345.04</v>
      </c>
      <c r="G315" s="12">
        <v>44990</v>
      </c>
      <c r="H315" s="12">
        <v>45364</v>
      </c>
      <c r="I315">
        <f t="shared" si="4"/>
        <v>1</v>
      </c>
    </row>
    <row r="316" spans="1:9" x14ac:dyDescent="0.3">
      <c r="A316" s="11">
        <v>81723</v>
      </c>
      <c r="B316" s="11" t="s">
        <v>18</v>
      </c>
      <c r="C316" s="11" t="s">
        <v>40</v>
      </c>
      <c r="D316" s="11">
        <v>875.47</v>
      </c>
      <c r="E316" s="11">
        <v>48</v>
      </c>
      <c r="F316" s="11">
        <v>42022.559999999998</v>
      </c>
      <c r="G316" s="12">
        <v>44978</v>
      </c>
      <c r="H316" s="12">
        <v>45261</v>
      </c>
      <c r="I316">
        <f t="shared" si="4"/>
        <v>1</v>
      </c>
    </row>
    <row r="317" spans="1:9" x14ac:dyDescent="0.3">
      <c r="A317" s="11">
        <v>26155</v>
      </c>
      <c r="B317" s="11" t="s">
        <v>15</v>
      </c>
      <c r="C317" s="11" t="s">
        <v>53</v>
      </c>
      <c r="D317" s="11">
        <v>972.24</v>
      </c>
      <c r="E317" s="11">
        <v>28</v>
      </c>
      <c r="F317" s="11">
        <v>27222.720000000001</v>
      </c>
      <c r="G317" s="12">
        <v>45481</v>
      </c>
      <c r="H317" s="12">
        <v>45217</v>
      </c>
      <c r="I317" t="e">
        <f t="shared" si="4"/>
        <v>#NUM!</v>
      </c>
    </row>
    <row r="318" spans="1:9" x14ac:dyDescent="0.3">
      <c r="A318" s="11">
        <v>22622</v>
      </c>
      <c r="B318" s="11" t="s">
        <v>15</v>
      </c>
      <c r="C318" s="11" t="s">
        <v>60</v>
      </c>
      <c r="D318" s="11">
        <v>184.57</v>
      </c>
      <c r="E318" s="11">
        <v>12</v>
      </c>
      <c r="F318" s="11">
        <v>2214.84</v>
      </c>
      <c r="G318" s="12">
        <v>45507</v>
      </c>
      <c r="H318" s="12">
        <v>44982</v>
      </c>
      <c r="I318" t="e">
        <f t="shared" si="4"/>
        <v>#NUM!</v>
      </c>
    </row>
    <row r="319" spans="1:9" x14ac:dyDescent="0.3">
      <c r="A319" s="11">
        <v>27967</v>
      </c>
      <c r="B319" s="11" t="s">
        <v>20</v>
      </c>
      <c r="C319" s="11" t="s">
        <v>67</v>
      </c>
      <c r="D319" s="11">
        <v>402.36</v>
      </c>
      <c r="E319" s="11">
        <v>30</v>
      </c>
      <c r="F319" s="11">
        <v>12070.8</v>
      </c>
      <c r="G319" s="12">
        <v>45601</v>
      </c>
      <c r="H319" s="12">
        <v>45544</v>
      </c>
      <c r="I319" t="e">
        <f t="shared" si="4"/>
        <v>#NUM!</v>
      </c>
    </row>
    <row r="320" spans="1:9" x14ac:dyDescent="0.3">
      <c r="A320" s="11">
        <v>31464</v>
      </c>
      <c r="B320" s="11" t="s">
        <v>27</v>
      </c>
      <c r="C320" s="11" t="s">
        <v>32</v>
      </c>
      <c r="D320" s="11">
        <v>546.64</v>
      </c>
      <c r="E320" s="11">
        <v>2</v>
      </c>
      <c r="F320" s="11">
        <v>1093.28</v>
      </c>
      <c r="G320" s="12">
        <v>45252</v>
      </c>
      <c r="H320" s="12">
        <v>45005</v>
      </c>
      <c r="I320" t="e">
        <f t="shared" si="4"/>
        <v>#NUM!</v>
      </c>
    </row>
    <row r="321" spans="1:9" x14ac:dyDescent="0.3">
      <c r="A321" s="11">
        <v>58282</v>
      </c>
      <c r="B321" s="11" t="s">
        <v>18</v>
      </c>
      <c r="C321" s="11" t="s">
        <v>65</v>
      </c>
      <c r="D321" s="11">
        <v>753.12</v>
      </c>
      <c r="E321" s="11">
        <v>46</v>
      </c>
      <c r="F321" s="11">
        <v>34643.519999999997</v>
      </c>
      <c r="G321" s="12">
        <v>45390</v>
      </c>
      <c r="H321" s="12">
        <v>45506</v>
      </c>
      <c r="I321">
        <f t="shared" si="4"/>
        <v>1</v>
      </c>
    </row>
    <row r="322" spans="1:9" x14ac:dyDescent="0.3">
      <c r="A322" s="11">
        <v>46864</v>
      </c>
      <c r="B322" s="11" t="s">
        <v>14</v>
      </c>
      <c r="C322" s="11" t="s">
        <v>75</v>
      </c>
      <c r="D322" s="11">
        <v>325</v>
      </c>
      <c r="E322" s="11">
        <v>9</v>
      </c>
      <c r="F322" s="11">
        <v>2925</v>
      </c>
      <c r="G322" s="12">
        <v>45578</v>
      </c>
      <c r="H322" s="12">
        <v>45508</v>
      </c>
      <c r="I322" t="e">
        <f t="shared" si="4"/>
        <v>#NUM!</v>
      </c>
    </row>
    <row r="323" spans="1:9" x14ac:dyDescent="0.3">
      <c r="A323" s="11">
        <v>94326</v>
      </c>
      <c r="B323" s="11" t="s">
        <v>25</v>
      </c>
      <c r="C323" s="11" t="s">
        <v>37</v>
      </c>
      <c r="D323" s="11">
        <v>796.94</v>
      </c>
      <c r="E323" s="11">
        <v>48</v>
      </c>
      <c r="F323" s="11">
        <v>38253.120000000003</v>
      </c>
      <c r="G323" s="12">
        <v>45590</v>
      </c>
      <c r="H323" s="12">
        <v>45373</v>
      </c>
      <c r="I323" t="e">
        <f t="shared" ref="I323:I386" si="5">IF(DATEDIF(G323,H323,"d") &gt; 15,1,0)</f>
        <v>#NUM!</v>
      </c>
    </row>
    <row r="324" spans="1:9" x14ac:dyDescent="0.3">
      <c r="A324" s="11">
        <v>39909</v>
      </c>
      <c r="B324" s="11" t="s">
        <v>18</v>
      </c>
      <c r="C324" s="11" t="s">
        <v>33</v>
      </c>
      <c r="D324" s="11">
        <v>622.16</v>
      </c>
      <c r="E324" s="11">
        <v>49</v>
      </c>
      <c r="F324" s="11">
        <v>30485.84</v>
      </c>
      <c r="G324" s="12">
        <v>45301</v>
      </c>
      <c r="H324" s="12">
        <v>45036</v>
      </c>
      <c r="I324" t="e">
        <f t="shared" si="5"/>
        <v>#NUM!</v>
      </c>
    </row>
    <row r="325" spans="1:9" x14ac:dyDescent="0.3">
      <c r="A325" s="11">
        <v>39028</v>
      </c>
      <c r="B325" s="11" t="s">
        <v>11</v>
      </c>
      <c r="C325" s="11" t="s">
        <v>30</v>
      </c>
      <c r="D325" s="11">
        <v>68.05</v>
      </c>
      <c r="E325" s="11">
        <v>5</v>
      </c>
      <c r="F325" s="11">
        <v>340.25</v>
      </c>
      <c r="G325" s="12">
        <v>45624</v>
      </c>
      <c r="H325" s="12">
        <v>45032</v>
      </c>
      <c r="I325" t="e">
        <f t="shared" si="5"/>
        <v>#NUM!</v>
      </c>
    </row>
    <row r="326" spans="1:9" x14ac:dyDescent="0.3">
      <c r="A326" s="11">
        <v>82985</v>
      </c>
      <c r="B326" s="11" t="s">
        <v>25</v>
      </c>
      <c r="C326" s="11" t="s">
        <v>35</v>
      </c>
      <c r="D326" s="11">
        <v>101.12</v>
      </c>
      <c r="E326" s="11">
        <v>4</v>
      </c>
      <c r="F326" s="11">
        <v>404.48</v>
      </c>
      <c r="G326" s="12">
        <v>45265</v>
      </c>
      <c r="H326" s="12">
        <v>45633</v>
      </c>
      <c r="I326">
        <f t="shared" si="5"/>
        <v>1</v>
      </c>
    </row>
    <row r="327" spans="1:9" x14ac:dyDescent="0.3">
      <c r="A327" s="11">
        <v>24248</v>
      </c>
      <c r="B327" s="11" t="s">
        <v>8</v>
      </c>
      <c r="C327" s="11" t="s">
        <v>66</v>
      </c>
      <c r="D327" s="11">
        <v>45.72</v>
      </c>
      <c r="E327" s="11">
        <v>7</v>
      </c>
      <c r="F327" s="11">
        <v>320.04000000000002</v>
      </c>
      <c r="G327" s="12">
        <v>45092</v>
      </c>
      <c r="H327" s="12">
        <v>45275</v>
      </c>
      <c r="I327">
        <f t="shared" si="5"/>
        <v>1</v>
      </c>
    </row>
    <row r="328" spans="1:9" x14ac:dyDescent="0.3">
      <c r="A328" s="11">
        <v>28226</v>
      </c>
      <c r="B328" s="11" t="s">
        <v>15</v>
      </c>
      <c r="C328" s="11" t="s">
        <v>68</v>
      </c>
      <c r="D328" s="11">
        <v>795.19</v>
      </c>
      <c r="E328" s="11">
        <v>39</v>
      </c>
      <c r="F328" s="11">
        <v>31012.41</v>
      </c>
      <c r="G328" s="12">
        <v>45674</v>
      </c>
      <c r="H328" s="12">
        <v>45509</v>
      </c>
      <c r="I328" t="e">
        <f t="shared" si="5"/>
        <v>#NUM!</v>
      </c>
    </row>
    <row r="329" spans="1:9" x14ac:dyDescent="0.3">
      <c r="A329" s="11">
        <v>43966</v>
      </c>
      <c r="B329" s="11" t="s">
        <v>18</v>
      </c>
      <c r="C329" s="11" t="s">
        <v>38</v>
      </c>
      <c r="D329" s="11">
        <v>233.83</v>
      </c>
      <c r="E329" s="11">
        <v>8</v>
      </c>
      <c r="F329" s="11">
        <v>1870.64</v>
      </c>
      <c r="G329" s="12">
        <v>45035</v>
      </c>
      <c r="H329" s="12">
        <v>45331</v>
      </c>
      <c r="I329">
        <f t="shared" si="5"/>
        <v>1</v>
      </c>
    </row>
    <row r="330" spans="1:9" x14ac:dyDescent="0.3">
      <c r="A330" s="11">
        <v>89448</v>
      </c>
      <c r="B330" s="11" t="s">
        <v>9</v>
      </c>
      <c r="C330" s="11" t="s">
        <v>59</v>
      </c>
      <c r="D330" s="11">
        <v>346.37</v>
      </c>
      <c r="E330" s="11">
        <v>27</v>
      </c>
      <c r="F330" s="11">
        <v>9351.99</v>
      </c>
      <c r="G330" s="12">
        <v>45385</v>
      </c>
      <c r="H330" s="12">
        <v>45274</v>
      </c>
      <c r="I330" t="e">
        <f t="shared" si="5"/>
        <v>#NUM!</v>
      </c>
    </row>
    <row r="331" spans="1:9" x14ac:dyDescent="0.3">
      <c r="A331" s="11">
        <v>12776</v>
      </c>
      <c r="B331" s="11" t="s">
        <v>15</v>
      </c>
      <c r="C331" s="11" t="s">
        <v>28</v>
      </c>
      <c r="D331" s="11">
        <v>855.99</v>
      </c>
      <c r="E331" s="11">
        <v>47</v>
      </c>
      <c r="F331" s="11">
        <v>40231.53</v>
      </c>
      <c r="G331" s="12">
        <v>45054</v>
      </c>
      <c r="H331" s="12">
        <v>45065</v>
      </c>
      <c r="I331">
        <f t="shared" si="5"/>
        <v>0</v>
      </c>
    </row>
    <row r="332" spans="1:9" x14ac:dyDescent="0.3">
      <c r="A332" s="11">
        <v>73515</v>
      </c>
      <c r="B332" s="11" t="s">
        <v>15</v>
      </c>
      <c r="C332" s="11" t="s">
        <v>30</v>
      </c>
      <c r="D332" s="11">
        <v>68.05</v>
      </c>
      <c r="E332" s="11">
        <v>28</v>
      </c>
      <c r="F332" s="11">
        <v>1905.4</v>
      </c>
      <c r="G332" s="12">
        <v>45464</v>
      </c>
      <c r="H332" s="12">
        <v>44985</v>
      </c>
      <c r="I332" t="e">
        <f t="shared" si="5"/>
        <v>#NUM!</v>
      </c>
    </row>
    <row r="333" spans="1:9" x14ac:dyDescent="0.3">
      <c r="A333" s="11">
        <v>76972</v>
      </c>
      <c r="B333" s="11" t="s">
        <v>18</v>
      </c>
      <c r="C333" s="11" t="s">
        <v>30</v>
      </c>
      <c r="D333" s="11">
        <v>68.05</v>
      </c>
      <c r="E333" s="11">
        <v>19</v>
      </c>
      <c r="F333" s="11">
        <v>1292.95</v>
      </c>
      <c r="G333" s="12">
        <v>45271</v>
      </c>
      <c r="H333" s="12">
        <v>45233</v>
      </c>
      <c r="I333" t="e">
        <f t="shared" si="5"/>
        <v>#NUM!</v>
      </c>
    </row>
    <row r="334" spans="1:9" x14ac:dyDescent="0.3">
      <c r="A334" s="11">
        <v>29691</v>
      </c>
      <c r="B334" s="11" t="s">
        <v>24</v>
      </c>
      <c r="C334" s="11" t="s">
        <v>68</v>
      </c>
      <c r="D334" s="11">
        <v>795.19</v>
      </c>
      <c r="E334" s="11">
        <v>17</v>
      </c>
      <c r="F334" s="11">
        <v>13518.23</v>
      </c>
      <c r="G334" s="12">
        <v>45444</v>
      </c>
      <c r="H334" s="12">
        <v>45565</v>
      </c>
      <c r="I334">
        <f t="shared" si="5"/>
        <v>1</v>
      </c>
    </row>
    <row r="335" spans="1:9" x14ac:dyDescent="0.3">
      <c r="A335" s="11">
        <v>78313</v>
      </c>
      <c r="B335" s="11" t="s">
        <v>16</v>
      </c>
      <c r="C335" s="11" t="s">
        <v>52</v>
      </c>
      <c r="D335" s="11">
        <v>323.73</v>
      </c>
      <c r="E335" s="11">
        <v>14</v>
      </c>
      <c r="F335" s="11">
        <v>4532.22</v>
      </c>
      <c r="G335" s="12">
        <v>45375</v>
      </c>
      <c r="H335" s="12">
        <v>45482</v>
      </c>
      <c r="I335">
        <f t="shared" si="5"/>
        <v>1</v>
      </c>
    </row>
    <row r="336" spans="1:9" x14ac:dyDescent="0.3">
      <c r="A336" s="11">
        <v>34317</v>
      </c>
      <c r="B336" s="11" t="s">
        <v>9</v>
      </c>
      <c r="C336" s="11" t="s">
        <v>71</v>
      </c>
      <c r="D336" s="11">
        <v>870.6</v>
      </c>
      <c r="E336" s="11">
        <v>48</v>
      </c>
      <c r="F336" s="11">
        <v>41788.800000000003</v>
      </c>
      <c r="G336" s="12">
        <v>44956</v>
      </c>
      <c r="H336" s="12">
        <v>45583</v>
      </c>
      <c r="I336">
        <f t="shared" si="5"/>
        <v>1</v>
      </c>
    </row>
    <row r="337" spans="1:9" x14ac:dyDescent="0.3">
      <c r="A337" s="11">
        <v>96973</v>
      </c>
      <c r="B337" s="11" t="s">
        <v>12</v>
      </c>
      <c r="C337" s="11" t="s">
        <v>28</v>
      </c>
      <c r="D337" s="11">
        <v>855.99</v>
      </c>
      <c r="E337" s="11">
        <v>30</v>
      </c>
      <c r="F337" s="11">
        <v>25679.7</v>
      </c>
      <c r="G337" s="12">
        <v>45096</v>
      </c>
      <c r="H337" s="12">
        <v>45257</v>
      </c>
      <c r="I337">
        <f t="shared" si="5"/>
        <v>1</v>
      </c>
    </row>
    <row r="338" spans="1:9" x14ac:dyDescent="0.3">
      <c r="A338" s="11">
        <v>17941</v>
      </c>
      <c r="B338" s="11" t="s">
        <v>18</v>
      </c>
      <c r="C338" s="11" t="s">
        <v>63</v>
      </c>
      <c r="D338" s="11">
        <v>611.66</v>
      </c>
      <c r="E338" s="11">
        <v>30</v>
      </c>
      <c r="F338" s="11">
        <v>18349.8</v>
      </c>
      <c r="G338" s="12">
        <v>45636</v>
      </c>
      <c r="H338" s="12">
        <v>44998</v>
      </c>
      <c r="I338" t="e">
        <f t="shared" si="5"/>
        <v>#NUM!</v>
      </c>
    </row>
    <row r="339" spans="1:9" x14ac:dyDescent="0.3">
      <c r="A339" s="11">
        <v>61297</v>
      </c>
      <c r="B339" s="11" t="s">
        <v>10</v>
      </c>
      <c r="C339" s="11" t="s">
        <v>35</v>
      </c>
      <c r="D339" s="11">
        <v>101.12</v>
      </c>
      <c r="E339" s="11">
        <v>44</v>
      </c>
      <c r="F339" s="11">
        <v>4449.28</v>
      </c>
      <c r="G339" s="12">
        <v>45467</v>
      </c>
      <c r="H339" s="12">
        <v>45545</v>
      </c>
      <c r="I339">
        <f t="shared" si="5"/>
        <v>1</v>
      </c>
    </row>
    <row r="340" spans="1:9" x14ac:dyDescent="0.3">
      <c r="A340" s="11">
        <v>94988</v>
      </c>
      <c r="B340" s="11" t="s">
        <v>16</v>
      </c>
      <c r="C340" s="11" t="s">
        <v>74</v>
      </c>
      <c r="D340" s="11">
        <v>346.4</v>
      </c>
      <c r="E340" s="11">
        <v>7</v>
      </c>
      <c r="F340" s="11">
        <v>2424.8000000000002</v>
      </c>
      <c r="G340" s="12">
        <v>45440</v>
      </c>
      <c r="H340" s="12">
        <v>45578</v>
      </c>
      <c r="I340">
        <f t="shared" si="5"/>
        <v>1</v>
      </c>
    </row>
    <row r="341" spans="1:9" x14ac:dyDescent="0.3">
      <c r="A341" s="11">
        <v>54266</v>
      </c>
      <c r="B341" s="11" t="s">
        <v>14</v>
      </c>
      <c r="C341" s="11" t="s">
        <v>49</v>
      </c>
      <c r="D341" s="11">
        <v>534.77</v>
      </c>
      <c r="E341" s="11">
        <v>12</v>
      </c>
      <c r="F341" s="11">
        <v>6417.24</v>
      </c>
      <c r="G341" s="12">
        <v>45264</v>
      </c>
      <c r="H341" s="12">
        <v>45430</v>
      </c>
      <c r="I341">
        <f t="shared" si="5"/>
        <v>1</v>
      </c>
    </row>
    <row r="342" spans="1:9" x14ac:dyDescent="0.3">
      <c r="A342" s="11">
        <v>27504</v>
      </c>
      <c r="B342" s="11" t="s">
        <v>18</v>
      </c>
      <c r="C342" s="11" t="s">
        <v>50</v>
      </c>
      <c r="D342" s="11">
        <v>468.95</v>
      </c>
      <c r="E342" s="11">
        <v>11</v>
      </c>
      <c r="F342" s="11">
        <v>5158.45</v>
      </c>
      <c r="G342" s="12">
        <v>45120</v>
      </c>
      <c r="H342" s="12">
        <v>45566</v>
      </c>
      <c r="I342">
        <f t="shared" si="5"/>
        <v>1</v>
      </c>
    </row>
    <row r="343" spans="1:9" x14ac:dyDescent="0.3">
      <c r="A343" s="11">
        <v>32171</v>
      </c>
      <c r="B343" s="11" t="s">
        <v>20</v>
      </c>
      <c r="C343" s="11" t="s">
        <v>73</v>
      </c>
      <c r="D343" s="11">
        <v>890.84</v>
      </c>
      <c r="E343" s="11">
        <v>36</v>
      </c>
      <c r="F343" s="11">
        <v>32070.240000000002</v>
      </c>
      <c r="G343" s="12">
        <v>45667</v>
      </c>
      <c r="H343" s="12">
        <v>45136</v>
      </c>
      <c r="I343" t="e">
        <f t="shared" si="5"/>
        <v>#NUM!</v>
      </c>
    </row>
    <row r="344" spans="1:9" x14ac:dyDescent="0.3">
      <c r="A344" s="11">
        <v>80393</v>
      </c>
      <c r="B344" s="11" t="s">
        <v>10</v>
      </c>
      <c r="C344" s="11" t="s">
        <v>50</v>
      </c>
      <c r="D344" s="11">
        <v>468.95</v>
      </c>
      <c r="E344" s="11">
        <v>33</v>
      </c>
      <c r="F344" s="11">
        <v>15475.35</v>
      </c>
      <c r="G344" s="12">
        <v>44975</v>
      </c>
      <c r="H344" s="12">
        <v>45261</v>
      </c>
      <c r="I344">
        <f t="shared" si="5"/>
        <v>1</v>
      </c>
    </row>
    <row r="345" spans="1:9" x14ac:dyDescent="0.3">
      <c r="A345" s="11">
        <v>68509</v>
      </c>
      <c r="B345" s="11" t="s">
        <v>17</v>
      </c>
      <c r="C345" s="11" t="s">
        <v>61</v>
      </c>
      <c r="D345" s="11">
        <v>705.68</v>
      </c>
      <c r="E345" s="11">
        <v>31</v>
      </c>
      <c r="F345" s="11">
        <v>21876.080000000002</v>
      </c>
      <c r="G345" s="12">
        <v>45097</v>
      </c>
      <c r="H345" s="12">
        <v>45101</v>
      </c>
      <c r="I345">
        <f t="shared" si="5"/>
        <v>0</v>
      </c>
    </row>
    <row r="346" spans="1:9" x14ac:dyDescent="0.3">
      <c r="A346" s="11">
        <v>40118</v>
      </c>
      <c r="B346" s="11" t="s">
        <v>21</v>
      </c>
      <c r="C346" s="11" t="s">
        <v>71</v>
      </c>
      <c r="D346" s="11">
        <v>870.6</v>
      </c>
      <c r="E346" s="11">
        <v>16</v>
      </c>
      <c r="F346" s="11">
        <v>13929.6</v>
      </c>
      <c r="G346" s="12">
        <v>45467</v>
      </c>
      <c r="H346" s="12">
        <v>45571</v>
      </c>
      <c r="I346">
        <f t="shared" si="5"/>
        <v>1</v>
      </c>
    </row>
    <row r="347" spans="1:9" x14ac:dyDescent="0.3">
      <c r="A347" s="11">
        <v>22561</v>
      </c>
      <c r="B347" s="11" t="s">
        <v>10</v>
      </c>
      <c r="C347" s="11" t="s">
        <v>59</v>
      </c>
      <c r="D347" s="11">
        <v>346.37</v>
      </c>
      <c r="E347" s="11">
        <v>28</v>
      </c>
      <c r="F347" s="11">
        <v>9698.36</v>
      </c>
      <c r="G347" s="12">
        <v>45105</v>
      </c>
      <c r="H347" s="12">
        <v>44960</v>
      </c>
      <c r="I347" t="e">
        <f t="shared" si="5"/>
        <v>#NUM!</v>
      </c>
    </row>
    <row r="348" spans="1:9" x14ac:dyDescent="0.3">
      <c r="A348" s="11">
        <v>52705</v>
      </c>
      <c r="B348" s="11" t="s">
        <v>18</v>
      </c>
      <c r="C348" s="11" t="s">
        <v>58</v>
      </c>
      <c r="D348" s="11">
        <v>988.73</v>
      </c>
      <c r="E348" s="11">
        <v>40</v>
      </c>
      <c r="F348" s="11">
        <v>39549.199999999997</v>
      </c>
      <c r="G348" s="12">
        <v>45040</v>
      </c>
      <c r="H348" s="12">
        <v>44952</v>
      </c>
      <c r="I348" t="e">
        <f t="shared" si="5"/>
        <v>#NUM!</v>
      </c>
    </row>
    <row r="349" spans="1:9" x14ac:dyDescent="0.3">
      <c r="A349" s="11">
        <v>56135</v>
      </c>
      <c r="B349" s="11" t="s">
        <v>19</v>
      </c>
      <c r="C349" s="11" t="s">
        <v>46</v>
      </c>
      <c r="D349" s="11">
        <v>617.33000000000004</v>
      </c>
      <c r="E349" s="11">
        <v>15</v>
      </c>
      <c r="F349" s="11">
        <v>9259.9500000000007</v>
      </c>
      <c r="G349" s="12">
        <v>45587</v>
      </c>
      <c r="H349" s="12">
        <v>45600</v>
      </c>
      <c r="I349">
        <f t="shared" si="5"/>
        <v>0</v>
      </c>
    </row>
    <row r="350" spans="1:9" x14ac:dyDescent="0.3">
      <c r="A350" s="11">
        <v>75126</v>
      </c>
      <c r="B350" s="11" t="s">
        <v>17</v>
      </c>
      <c r="C350" s="11" t="s">
        <v>46</v>
      </c>
      <c r="D350" s="11">
        <v>617.33000000000004</v>
      </c>
      <c r="E350" s="11">
        <v>4</v>
      </c>
      <c r="F350" s="11">
        <v>2469.3200000000002</v>
      </c>
      <c r="G350" s="12">
        <v>44968</v>
      </c>
      <c r="H350" s="12">
        <v>45476</v>
      </c>
      <c r="I350">
        <f t="shared" si="5"/>
        <v>1</v>
      </c>
    </row>
    <row r="351" spans="1:9" x14ac:dyDescent="0.3">
      <c r="A351" s="11">
        <v>80522</v>
      </c>
      <c r="B351" s="11" t="s">
        <v>12</v>
      </c>
      <c r="C351" s="11" t="s">
        <v>50</v>
      </c>
      <c r="D351" s="11">
        <v>468.95</v>
      </c>
      <c r="E351" s="11">
        <v>33</v>
      </c>
      <c r="F351" s="11">
        <v>15475.35</v>
      </c>
      <c r="G351" s="12">
        <v>45616</v>
      </c>
      <c r="H351" s="12">
        <v>45209</v>
      </c>
      <c r="I351" t="e">
        <f t="shared" si="5"/>
        <v>#NUM!</v>
      </c>
    </row>
    <row r="352" spans="1:9" x14ac:dyDescent="0.3">
      <c r="A352" s="11">
        <v>60774</v>
      </c>
      <c r="B352" s="11" t="s">
        <v>24</v>
      </c>
      <c r="C352" s="11" t="s">
        <v>76</v>
      </c>
      <c r="D352" s="11">
        <v>95.12</v>
      </c>
      <c r="E352" s="11">
        <v>36</v>
      </c>
      <c r="F352" s="11">
        <v>3424.32</v>
      </c>
      <c r="G352" s="12">
        <v>45321</v>
      </c>
      <c r="H352" s="12">
        <v>45060</v>
      </c>
      <c r="I352" t="e">
        <f t="shared" si="5"/>
        <v>#NUM!</v>
      </c>
    </row>
    <row r="353" spans="1:9" x14ac:dyDescent="0.3">
      <c r="A353" s="11">
        <v>53240</v>
      </c>
      <c r="B353" s="11" t="s">
        <v>18</v>
      </c>
      <c r="C353" s="11" t="s">
        <v>40</v>
      </c>
      <c r="D353" s="11">
        <v>875.47</v>
      </c>
      <c r="E353" s="11">
        <v>29</v>
      </c>
      <c r="F353" s="11">
        <v>25388.63</v>
      </c>
      <c r="G353" s="12">
        <v>45031</v>
      </c>
      <c r="H353" s="12">
        <v>45192</v>
      </c>
      <c r="I353">
        <f t="shared" si="5"/>
        <v>1</v>
      </c>
    </row>
    <row r="354" spans="1:9" x14ac:dyDescent="0.3">
      <c r="A354" s="11">
        <v>17398</v>
      </c>
      <c r="B354" s="11" t="s">
        <v>24</v>
      </c>
      <c r="C354" s="11" t="s">
        <v>39</v>
      </c>
      <c r="D354" s="11">
        <v>988.47</v>
      </c>
      <c r="E354" s="11">
        <v>25</v>
      </c>
      <c r="F354" s="11">
        <v>24711.75</v>
      </c>
      <c r="G354" s="12">
        <v>45504</v>
      </c>
      <c r="H354" s="12">
        <v>45203</v>
      </c>
      <c r="I354" t="e">
        <f t="shared" si="5"/>
        <v>#NUM!</v>
      </c>
    </row>
    <row r="355" spans="1:9" x14ac:dyDescent="0.3">
      <c r="A355" s="11">
        <v>57858</v>
      </c>
      <c r="B355" s="11" t="s">
        <v>23</v>
      </c>
      <c r="C355" s="11" t="s">
        <v>45</v>
      </c>
      <c r="D355" s="11">
        <v>366.3</v>
      </c>
      <c r="E355" s="11">
        <v>13</v>
      </c>
      <c r="F355" s="11">
        <v>4761.8999999999996</v>
      </c>
      <c r="G355" s="12">
        <v>45341</v>
      </c>
      <c r="H355" s="12">
        <v>45233</v>
      </c>
      <c r="I355" t="e">
        <f t="shared" si="5"/>
        <v>#NUM!</v>
      </c>
    </row>
    <row r="356" spans="1:9" x14ac:dyDescent="0.3">
      <c r="A356" s="11">
        <v>93000</v>
      </c>
      <c r="B356" s="11" t="s">
        <v>21</v>
      </c>
      <c r="C356" s="11" t="s">
        <v>40</v>
      </c>
      <c r="D356" s="11">
        <v>875.47</v>
      </c>
      <c r="E356" s="11">
        <v>32</v>
      </c>
      <c r="F356" s="11">
        <v>28015.040000000001</v>
      </c>
      <c r="G356" s="12">
        <v>45416</v>
      </c>
      <c r="H356" s="12">
        <v>44965</v>
      </c>
      <c r="I356" t="e">
        <f t="shared" si="5"/>
        <v>#NUM!</v>
      </c>
    </row>
    <row r="357" spans="1:9" x14ac:dyDescent="0.3">
      <c r="A357" s="11">
        <v>59986</v>
      </c>
      <c r="B357" s="11" t="s">
        <v>19</v>
      </c>
      <c r="C357" s="11" t="s">
        <v>52</v>
      </c>
      <c r="D357" s="11">
        <v>323.73</v>
      </c>
      <c r="E357" s="11">
        <v>33</v>
      </c>
      <c r="F357" s="11">
        <v>10683.09</v>
      </c>
      <c r="G357" s="12">
        <v>45234</v>
      </c>
      <c r="H357" s="12">
        <v>45584</v>
      </c>
      <c r="I357">
        <f t="shared" si="5"/>
        <v>1</v>
      </c>
    </row>
    <row r="358" spans="1:9" x14ac:dyDescent="0.3">
      <c r="A358" s="11">
        <v>69704</v>
      </c>
      <c r="B358" s="11" t="s">
        <v>14</v>
      </c>
      <c r="C358" s="11" t="s">
        <v>44</v>
      </c>
      <c r="D358" s="11">
        <v>654.4</v>
      </c>
      <c r="E358" s="11">
        <v>45</v>
      </c>
      <c r="F358" s="11">
        <v>29448</v>
      </c>
      <c r="G358" s="12">
        <v>45005</v>
      </c>
      <c r="H358" s="12">
        <v>45356</v>
      </c>
      <c r="I358">
        <f t="shared" si="5"/>
        <v>1</v>
      </c>
    </row>
    <row r="359" spans="1:9" x14ac:dyDescent="0.3">
      <c r="A359" s="11">
        <v>46323</v>
      </c>
      <c r="B359" s="11" t="s">
        <v>14</v>
      </c>
      <c r="C359" s="11" t="s">
        <v>53</v>
      </c>
      <c r="D359" s="11">
        <v>972.24</v>
      </c>
      <c r="E359" s="11">
        <v>42</v>
      </c>
      <c r="F359" s="11">
        <v>40834.080000000002</v>
      </c>
      <c r="G359" s="12">
        <v>45265</v>
      </c>
      <c r="H359" s="12">
        <v>45470</v>
      </c>
      <c r="I359">
        <f t="shared" si="5"/>
        <v>1</v>
      </c>
    </row>
    <row r="360" spans="1:9" x14ac:dyDescent="0.3">
      <c r="A360" s="11">
        <v>60804</v>
      </c>
      <c r="B360" s="11" t="s">
        <v>19</v>
      </c>
      <c r="C360" s="11" t="s">
        <v>56</v>
      </c>
      <c r="D360" s="11">
        <v>641.34</v>
      </c>
      <c r="E360" s="11">
        <v>3</v>
      </c>
      <c r="F360" s="11">
        <v>1924.02</v>
      </c>
      <c r="G360" s="12">
        <v>45580</v>
      </c>
      <c r="H360" s="12">
        <v>45160</v>
      </c>
      <c r="I360" t="e">
        <f t="shared" si="5"/>
        <v>#NUM!</v>
      </c>
    </row>
    <row r="361" spans="1:9" x14ac:dyDescent="0.3">
      <c r="A361" s="11">
        <v>36936</v>
      </c>
      <c r="B361" s="11" t="s">
        <v>23</v>
      </c>
      <c r="C361" s="11" t="s">
        <v>56</v>
      </c>
      <c r="D361" s="11">
        <v>641.34</v>
      </c>
      <c r="E361" s="11">
        <v>25</v>
      </c>
      <c r="F361" s="11">
        <v>16033.5</v>
      </c>
      <c r="G361" s="12">
        <v>45536</v>
      </c>
      <c r="H361" s="12">
        <v>45641</v>
      </c>
      <c r="I361">
        <f t="shared" si="5"/>
        <v>1</v>
      </c>
    </row>
    <row r="362" spans="1:9" x14ac:dyDescent="0.3">
      <c r="A362" s="11">
        <v>97707</v>
      </c>
      <c r="B362" s="11" t="s">
        <v>13</v>
      </c>
      <c r="C362" s="11" t="s">
        <v>75</v>
      </c>
      <c r="D362" s="11">
        <v>325</v>
      </c>
      <c r="E362" s="11">
        <v>17</v>
      </c>
      <c r="F362" s="11">
        <v>5525</v>
      </c>
      <c r="G362" s="12">
        <v>45623</v>
      </c>
      <c r="H362" s="12">
        <v>45506</v>
      </c>
      <c r="I362" t="e">
        <f t="shared" si="5"/>
        <v>#NUM!</v>
      </c>
    </row>
    <row r="363" spans="1:9" x14ac:dyDescent="0.3">
      <c r="A363" s="11">
        <v>73780</v>
      </c>
      <c r="B363" s="11" t="s">
        <v>25</v>
      </c>
      <c r="C363" s="11" t="s">
        <v>32</v>
      </c>
      <c r="D363" s="11">
        <v>546.64</v>
      </c>
      <c r="E363" s="11">
        <v>27</v>
      </c>
      <c r="F363" s="11">
        <v>14759.28</v>
      </c>
      <c r="G363" s="12">
        <v>45058</v>
      </c>
      <c r="H363" s="12">
        <v>45132</v>
      </c>
      <c r="I363">
        <f t="shared" si="5"/>
        <v>1</v>
      </c>
    </row>
    <row r="364" spans="1:9" x14ac:dyDescent="0.3">
      <c r="A364" s="11">
        <v>33107</v>
      </c>
      <c r="B364" s="11" t="s">
        <v>22</v>
      </c>
      <c r="C364" s="11" t="s">
        <v>65</v>
      </c>
      <c r="D364" s="11">
        <v>753.12</v>
      </c>
      <c r="E364" s="11">
        <v>2</v>
      </c>
      <c r="F364" s="11">
        <v>1506.24</v>
      </c>
      <c r="G364" s="12">
        <v>45607</v>
      </c>
      <c r="H364" s="12">
        <v>45204</v>
      </c>
      <c r="I364" t="e">
        <f t="shared" si="5"/>
        <v>#NUM!</v>
      </c>
    </row>
    <row r="365" spans="1:9" x14ac:dyDescent="0.3">
      <c r="A365" s="11">
        <v>53488</v>
      </c>
      <c r="B365" s="11" t="s">
        <v>21</v>
      </c>
      <c r="C365" s="11" t="s">
        <v>53</v>
      </c>
      <c r="D365" s="11">
        <v>972.24</v>
      </c>
      <c r="E365" s="11">
        <v>23</v>
      </c>
      <c r="F365" s="11">
        <v>22361.52</v>
      </c>
      <c r="G365" s="12">
        <v>45518</v>
      </c>
      <c r="H365" s="12">
        <v>45625</v>
      </c>
      <c r="I365">
        <f t="shared" si="5"/>
        <v>1</v>
      </c>
    </row>
    <row r="366" spans="1:9" x14ac:dyDescent="0.3">
      <c r="A366" s="11">
        <v>43730</v>
      </c>
      <c r="B366" s="11" t="s">
        <v>11</v>
      </c>
      <c r="C366" s="11" t="s">
        <v>41</v>
      </c>
      <c r="D366" s="11">
        <v>110.41</v>
      </c>
      <c r="E366" s="11">
        <v>35</v>
      </c>
      <c r="F366" s="11">
        <v>3864.35</v>
      </c>
      <c r="G366" s="12">
        <v>45248</v>
      </c>
      <c r="H366" s="12">
        <v>45207</v>
      </c>
      <c r="I366" t="e">
        <f t="shared" si="5"/>
        <v>#NUM!</v>
      </c>
    </row>
    <row r="367" spans="1:9" x14ac:dyDescent="0.3">
      <c r="A367" s="11">
        <v>11654</v>
      </c>
      <c r="B367" s="11" t="s">
        <v>14</v>
      </c>
      <c r="C367" s="11" t="s">
        <v>76</v>
      </c>
      <c r="D367" s="11">
        <v>95.12</v>
      </c>
      <c r="E367" s="11">
        <v>50</v>
      </c>
      <c r="F367" s="11">
        <v>4756</v>
      </c>
      <c r="G367" s="12">
        <v>45637</v>
      </c>
      <c r="H367" s="12">
        <v>45549</v>
      </c>
      <c r="I367" t="e">
        <f t="shared" si="5"/>
        <v>#NUM!</v>
      </c>
    </row>
    <row r="368" spans="1:9" x14ac:dyDescent="0.3">
      <c r="A368" s="11">
        <v>90340</v>
      </c>
      <c r="B368" s="11" t="s">
        <v>13</v>
      </c>
      <c r="C368" s="11" t="s">
        <v>64</v>
      </c>
      <c r="D368" s="11">
        <v>796.51</v>
      </c>
      <c r="E368" s="11">
        <v>20</v>
      </c>
      <c r="F368" s="11">
        <v>15930.2</v>
      </c>
      <c r="G368" s="12">
        <v>45283</v>
      </c>
      <c r="H368" s="12">
        <v>45105</v>
      </c>
      <c r="I368" t="e">
        <f t="shared" si="5"/>
        <v>#NUM!</v>
      </c>
    </row>
    <row r="369" spans="1:9" x14ac:dyDescent="0.3">
      <c r="A369" s="11">
        <v>76605</v>
      </c>
      <c r="B369" s="11" t="s">
        <v>23</v>
      </c>
      <c r="C369" s="11" t="s">
        <v>63</v>
      </c>
      <c r="D369" s="11">
        <v>611.66</v>
      </c>
      <c r="E369" s="11">
        <v>44</v>
      </c>
      <c r="F369" s="11">
        <v>26913.040000000001</v>
      </c>
      <c r="G369" s="12">
        <v>45404</v>
      </c>
      <c r="H369" s="12">
        <v>45450</v>
      </c>
      <c r="I369">
        <f t="shared" si="5"/>
        <v>1</v>
      </c>
    </row>
    <row r="370" spans="1:9" x14ac:dyDescent="0.3">
      <c r="A370" s="11">
        <v>93873</v>
      </c>
      <c r="B370" s="11" t="s">
        <v>27</v>
      </c>
      <c r="C370" s="11" t="s">
        <v>66</v>
      </c>
      <c r="D370" s="11">
        <v>45.72</v>
      </c>
      <c r="E370" s="11">
        <v>33</v>
      </c>
      <c r="F370" s="11">
        <v>1508.76</v>
      </c>
      <c r="G370" s="12">
        <v>45242</v>
      </c>
      <c r="H370" s="12">
        <v>45473</v>
      </c>
      <c r="I370">
        <f t="shared" si="5"/>
        <v>1</v>
      </c>
    </row>
    <row r="371" spans="1:9" x14ac:dyDescent="0.3">
      <c r="A371" s="11">
        <v>16581</v>
      </c>
      <c r="B371" s="11" t="s">
        <v>20</v>
      </c>
      <c r="C371" s="11" t="s">
        <v>66</v>
      </c>
      <c r="D371" s="11">
        <v>45.72</v>
      </c>
      <c r="E371" s="11">
        <v>29</v>
      </c>
      <c r="F371" s="11">
        <v>1325.88</v>
      </c>
      <c r="G371" s="12">
        <v>45150</v>
      </c>
      <c r="H371" s="12">
        <v>45349</v>
      </c>
      <c r="I371">
        <f t="shared" si="5"/>
        <v>1</v>
      </c>
    </row>
    <row r="372" spans="1:9" x14ac:dyDescent="0.3">
      <c r="A372" s="11">
        <v>71892</v>
      </c>
      <c r="B372" s="11" t="s">
        <v>16</v>
      </c>
      <c r="C372" s="11" t="s">
        <v>45</v>
      </c>
      <c r="D372" s="11">
        <v>366.3</v>
      </c>
      <c r="E372" s="11">
        <v>23</v>
      </c>
      <c r="F372" s="11">
        <v>8424.9</v>
      </c>
      <c r="G372" s="12">
        <v>45450</v>
      </c>
      <c r="H372" s="12">
        <v>45350</v>
      </c>
      <c r="I372" t="e">
        <f t="shared" si="5"/>
        <v>#NUM!</v>
      </c>
    </row>
    <row r="373" spans="1:9" x14ac:dyDescent="0.3">
      <c r="A373" s="11">
        <v>79162</v>
      </c>
      <c r="B373" s="11" t="s">
        <v>24</v>
      </c>
      <c r="C373" s="11" t="s">
        <v>42</v>
      </c>
      <c r="D373" s="11">
        <v>112.52</v>
      </c>
      <c r="E373" s="11">
        <v>1</v>
      </c>
      <c r="F373" s="11">
        <v>112.52</v>
      </c>
      <c r="G373" s="12">
        <v>45511</v>
      </c>
      <c r="H373" s="12">
        <v>45365</v>
      </c>
      <c r="I373" t="e">
        <f t="shared" si="5"/>
        <v>#NUM!</v>
      </c>
    </row>
    <row r="374" spans="1:9" x14ac:dyDescent="0.3">
      <c r="A374" s="11">
        <v>91327</v>
      </c>
      <c r="B374" s="11" t="s">
        <v>15</v>
      </c>
      <c r="C374" s="11" t="s">
        <v>47</v>
      </c>
      <c r="D374" s="11">
        <v>682.74</v>
      </c>
      <c r="E374" s="11">
        <v>37</v>
      </c>
      <c r="F374" s="11">
        <v>25261.38</v>
      </c>
      <c r="G374" s="12">
        <v>45626</v>
      </c>
      <c r="H374" s="12">
        <v>45242</v>
      </c>
      <c r="I374" t="e">
        <f t="shared" si="5"/>
        <v>#NUM!</v>
      </c>
    </row>
    <row r="375" spans="1:9" x14ac:dyDescent="0.3">
      <c r="A375" s="11">
        <v>74529</v>
      </c>
      <c r="B375" s="11" t="s">
        <v>8</v>
      </c>
      <c r="C375" s="11" t="s">
        <v>42</v>
      </c>
      <c r="D375" s="11">
        <v>112.52</v>
      </c>
      <c r="E375" s="11">
        <v>28</v>
      </c>
      <c r="F375" s="11">
        <v>3150.56</v>
      </c>
      <c r="G375" s="12">
        <v>45087</v>
      </c>
      <c r="H375" s="12">
        <v>45593</v>
      </c>
      <c r="I375">
        <f t="shared" si="5"/>
        <v>1</v>
      </c>
    </row>
    <row r="376" spans="1:9" x14ac:dyDescent="0.3">
      <c r="A376" s="11">
        <v>93143</v>
      </c>
      <c r="B376" s="11" t="s">
        <v>27</v>
      </c>
      <c r="C376" s="11" t="s">
        <v>57</v>
      </c>
      <c r="D376" s="11">
        <v>404.9</v>
      </c>
      <c r="E376" s="11">
        <v>40</v>
      </c>
      <c r="F376" s="11">
        <v>16196</v>
      </c>
      <c r="G376" s="12">
        <v>45410</v>
      </c>
      <c r="H376" s="12">
        <v>45352</v>
      </c>
      <c r="I376" t="e">
        <f t="shared" si="5"/>
        <v>#NUM!</v>
      </c>
    </row>
    <row r="377" spans="1:9" x14ac:dyDescent="0.3">
      <c r="A377" s="11">
        <v>88273</v>
      </c>
      <c r="B377" s="11" t="s">
        <v>19</v>
      </c>
      <c r="C377" s="11" t="s">
        <v>41</v>
      </c>
      <c r="D377" s="11">
        <v>110.41</v>
      </c>
      <c r="E377" s="11">
        <v>36</v>
      </c>
      <c r="F377" s="11">
        <v>3974.76</v>
      </c>
      <c r="G377" s="12">
        <v>45382</v>
      </c>
      <c r="H377" s="12">
        <v>45257</v>
      </c>
      <c r="I377" t="e">
        <f t="shared" si="5"/>
        <v>#NUM!</v>
      </c>
    </row>
    <row r="378" spans="1:9" x14ac:dyDescent="0.3">
      <c r="A378" s="11">
        <v>52239</v>
      </c>
      <c r="B378" s="11" t="s">
        <v>23</v>
      </c>
      <c r="C378" s="11" t="s">
        <v>42</v>
      </c>
      <c r="D378" s="11">
        <v>112.52</v>
      </c>
      <c r="E378" s="11">
        <v>1</v>
      </c>
      <c r="F378" s="11">
        <v>112.52</v>
      </c>
      <c r="G378" s="12">
        <v>45091</v>
      </c>
      <c r="H378" s="12">
        <v>45507</v>
      </c>
      <c r="I378">
        <f t="shared" si="5"/>
        <v>1</v>
      </c>
    </row>
    <row r="379" spans="1:9" x14ac:dyDescent="0.3">
      <c r="A379" s="11">
        <v>64930</v>
      </c>
      <c r="B379" s="11" t="s">
        <v>20</v>
      </c>
      <c r="C379" s="11" t="s">
        <v>50</v>
      </c>
      <c r="D379" s="11">
        <v>468.95</v>
      </c>
      <c r="E379" s="11">
        <v>35</v>
      </c>
      <c r="F379" s="11">
        <v>16413.25</v>
      </c>
      <c r="G379" s="12">
        <v>45634</v>
      </c>
      <c r="H379" s="12">
        <v>45191</v>
      </c>
      <c r="I379" t="e">
        <f t="shared" si="5"/>
        <v>#NUM!</v>
      </c>
    </row>
    <row r="380" spans="1:9" x14ac:dyDescent="0.3">
      <c r="A380" s="11">
        <v>70420</v>
      </c>
      <c r="B380" s="11" t="s">
        <v>25</v>
      </c>
      <c r="C380" s="11" t="s">
        <v>50</v>
      </c>
      <c r="D380" s="11">
        <v>468.95</v>
      </c>
      <c r="E380" s="11">
        <v>12</v>
      </c>
      <c r="F380" s="11">
        <v>5627.4</v>
      </c>
      <c r="G380" s="12">
        <v>45370</v>
      </c>
      <c r="H380" s="12">
        <v>45462</v>
      </c>
      <c r="I380">
        <f t="shared" si="5"/>
        <v>1</v>
      </c>
    </row>
    <row r="381" spans="1:9" x14ac:dyDescent="0.3">
      <c r="A381" s="11">
        <v>12397</v>
      </c>
      <c r="B381" s="11" t="s">
        <v>18</v>
      </c>
      <c r="C381" s="11" t="s">
        <v>49</v>
      </c>
      <c r="D381" s="11">
        <v>534.77</v>
      </c>
      <c r="E381" s="11">
        <v>48</v>
      </c>
      <c r="F381" s="11">
        <v>25668.959999999999</v>
      </c>
      <c r="G381" s="12">
        <v>45048</v>
      </c>
      <c r="H381" s="12">
        <v>45350</v>
      </c>
      <c r="I381">
        <f t="shared" si="5"/>
        <v>1</v>
      </c>
    </row>
    <row r="382" spans="1:9" x14ac:dyDescent="0.3">
      <c r="A382" s="11">
        <v>22338</v>
      </c>
      <c r="B382" s="11" t="s">
        <v>14</v>
      </c>
      <c r="C382" s="11" t="s">
        <v>42</v>
      </c>
      <c r="D382" s="11">
        <v>112.52</v>
      </c>
      <c r="E382" s="11">
        <v>3</v>
      </c>
      <c r="F382" s="11">
        <v>337.56</v>
      </c>
      <c r="G382" s="12">
        <v>45412</v>
      </c>
      <c r="H382" s="12">
        <v>45580</v>
      </c>
      <c r="I382">
        <f t="shared" si="5"/>
        <v>1</v>
      </c>
    </row>
    <row r="383" spans="1:9" x14ac:dyDescent="0.3">
      <c r="A383" s="11">
        <v>67490</v>
      </c>
      <c r="B383" s="11" t="s">
        <v>13</v>
      </c>
      <c r="C383" s="11" t="s">
        <v>35</v>
      </c>
      <c r="D383" s="11">
        <v>101.12</v>
      </c>
      <c r="E383" s="11">
        <v>26</v>
      </c>
      <c r="F383" s="11">
        <v>2629.12</v>
      </c>
      <c r="G383" s="12">
        <v>45231</v>
      </c>
      <c r="H383" s="12">
        <v>45505</v>
      </c>
      <c r="I383">
        <f t="shared" si="5"/>
        <v>1</v>
      </c>
    </row>
    <row r="384" spans="1:9" x14ac:dyDescent="0.3">
      <c r="A384" s="11">
        <v>87685</v>
      </c>
      <c r="B384" s="11" t="s">
        <v>10</v>
      </c>
      <c r="C384" s="11" t="s">
        <v>76</v>
      </c>
      <c r="D384" s="11">
        <v>95.12</v>
      </c>
      <c r="E384" s="11">
        <v>37</v>
      </c>
      <c r="F384" s="11">
        <v>3519.44</v>
      </c>
      <c r="G384" s="12">
        <v>45247</v>
      </c>
      <c r="H384" s="12">
        <v>44960</v>
      </c>
      <c r="I384" t="e">
        <f t="shared" si="5"/>
        <v>#NUM!</v>
      </c>
    </row>
    <row r="385" spans="1:9" x14ac:dyDescent="0.3">
      <c r="A385" s="11">
        <v>27541</v>
      </c>
      <c r="B385" s="11" t="s">
        <v>23</v>
      </c>
      <c r="C385" s="11" t="s">
        <v>66</v>
      </c>
      <c r="D385" s="11">
        <v>45.72</v>
      </c>
      <c r="E385" s="11">
        <v>8</v>
      </c>
      <c r="F385" s="11">
        <v>365.76</v>
      </c>
      <c r="G385" s="12">
        <v>45346</v>
      </c>
      <c r="H385" s="12">
        <v>45352</v>
      </c>
      <c r="I385">
        <f t="shared" si="5"/>
        <v>0</v>
      </c>
    </row>
    <row r="386" spans="1:9" x14ac:dyDescent="0.3">
      <c r="A386" s="11">
        <v>88560</v>
      </c>
      <c r="B386" s="11" t="s">
        <v>27</v>
      </c>
      <c r="C386" s="11" t="s">
        <v>51</v>
      </c>
      <c r="D386" s="11">
        <v>533.15</v>
      </c>
      <c r="E386" s="11">
        <v>17</v>
      </c>
      <c r="F386" s="11">
        <v>9063.5499999999993</v>
      </c>
      <c r="G386" s="12">
        <v>45039</v>
      </c>
      <c r="H386" s="12">
        <v>45163</v>
      </c>
      <c r="I386">
        <f t="shared" si="5"/>
        <v>1</v>
      </c>
    </row>
    <row r="387" spans="1:9" x14ac:dyDescent="0.3">
      <c r="A387" s="11">
        <v>58492</v>
      </c>
      <c r="B387" s="11" t="s">
        <v>19</v>
      </c>
      <c r="C387" s="11" t="s">
        <v>73</v>
      </c>
      <c r="D387" s="11">
        <v>890.84</v>
      </c>
      <c r="E387" s="11">
        <v>29</v>
      </c>
      <c r="F387" s="11">
        <v>25834.36</v>
      </c>
      <c r="G387" s="12">
        <v>45453</v>
      </c>
      <c r="H387" s="12">
        <v>45133</v>
      </c>
      <c r="I387" t="e">
        <f t="shared" ref="I387:I450" si="6">IF(DATEDIF(G387,H387,"d") &gt; 15,1,0)</f>
        <v>#NUM!</v>
      </c>
    </row>
    <row r="388" spans="1:9" x14ac:dyDescent="0.3">
      <c r="A388" s="11">
        <v>44585</v>
      </c>
      <c r="B388" s="11" t="s">
        <v>23</v>
      </c>
      <c r="C388" s="11" t="s">
        <v>69</v>
      </c>
      <c r="D388" s="11">
        <v>158.66999999999999</v>
      </c>
      <c r="E388" s="11">
        <v>15</v>
      </c>
      <c r="F388" s="11">
        <v>2380.0500000000002</v>
      </c>
      <c r="G388" s="12">
        <v>45227</v>
      </c>
      <c r="H388" s="12">
        <v>45043</v>
      </c>
      <c r="I388" t="e">
        <f t="shared" si="6"/>
        <v>#NUM!</v>
      </c>
    </row>
    <row r="389" spans="1:9" x14ac:dyDescent="0.3">
      <c r="A389" s="11">
        <v>12270</v>
      </c>
      <c r="B389" s="11" t="s">
        <v>10</v>
      </c>
      <c r="C389" s="11" t="s">
        <v>74</v>
      </c>
      <c r="D389" s="11">
        <v>346.4</v>
      </c>
      <c r="E389" s="11">
        <v>11</v>
      </c>
      <c r="F389" s="11">
        <v>3810.4</v>
      </c>
      <c r="G389" s="12">
        <v>45114</v>
      </c>
      <c r="H389" s="12">
        <v>45432</v>
      </c>
      <c r="I389">
        <f t="shared" si="6"/>
        <v>1</v>
      </c>
    </row>
    <row r="390" spans="1:9" x14ac:dyDescent="0.3">
      <c r="A390" s="11">
        <v>22736</v>
      </c>
      <c r="B390" s="11" t="s">
        <v>9</v>
      </c>
      <c r="C390" s="11" t="s">
        <v>76</v>
      </c>
      <c r="D390" s="11">
        <v>95.12</v>
      </c>
      <c r="E390" s="11">
        <v>44</v>
      </c>
      <c r="F390" s="11">
        <v>4185.28</v>
      </c>
      <c r="G390" s="12">
        <v>45596</v>
      </c>
      <c r="H390" s="12">
        <v>45196</v>
      </c>
      <c r="I390" t="e">
        <f t="shared" si="6"/>
        <v>#NUM!</v>
      </c>
    </row>
    <row r="391" spans="1:9" x14ac:dyDescent="0.3">
      <c r="A391" s="11">
        <v>57262</v>
      </c>
      <c r="B391" s="11" t="s">
        <v>22</v>
      </c>
      <c r="C391" s="11" t="s">
        <v>66</v>
      </c>
      <c r="D391" s="11">
        <v>45.72</v>
      </c>
      <c r="E391" s="11">
        <v>35</v>
      </c>
      <c r="F391" s="11">
        <v>1600.2</v>
      </c>
      <c r="G391" s="12">
        <v>45552</v>
      </c>
      <c r="H391" s="12">
        <v>45627</v>
      </c>
      <c r="I391">
        <f t="shared" si="6"/>
        <v>1</v>
      </c>
    </row>
    <row r="392" spans="1:9" x14ac:dyDescent="0.3">
      <c r="A392" s="11">
        <v>83694</v>
      </c>
      <c r="B392" s="11" t="s">
        <v>16</v>
      </c>
      <c r="C392" s="11" t="s">
        <v>41</v>
      </c>
      <c r="D392" s="11">
        <v>110.41</v>
      </c>
      <c r="E392" s="11">
        <v>18</v>
      </c>
      <c r="F392" s="11">
        <v>1987.38</v>
      </c>
      <c r="G392" s="12">
        <v>45215</v>
      </c>
      <c r="H392" s="12">
        <v>45463</v>
      </c>
      <c r="I392">
        <f t="shared" si="6"/>
        <v>1</v>
      </c>
    </row>
    <row r="393" spans="1:9" x14ac:dyDescent="0.3">
      <c r="A393" s="11">
        <v>36973</v>
      </c>
      <c r="B393" s="11" t="s">
        <v>16</v>
      </c>
      <c r="C393" s="11" t="s">
        <v>69</v>
      </c>
      <c r="D393" s="11">
        <v>158.66999999999999</v>
      </c>
      <c r="E393" s="11">
        <v>18</v>
      </c>
      <c r="F393" s="11">
        <v>2856.06</v>
      </c>
      <c r="G393" s="12">
        <v>45574</v>
      </c>
      <c r="H393" s="12">
        <v>45261</v>
      </c>
      <c r="I393" t="e">
        <f t="shared" si="6"/>
        <v>#NUM!</v>
      </c>
    </row>
    <row r="394" spans="1:9" x14ac:dyDescent="0.3">
      <c r="A394" s="11">
        <v>96138</v>
      </c>
      <c r="B394" s="11" t="s">
        <v>24</v>
      </c>
      <c r="C394" s="11" t="s">
        <v>76</v>
      </c>
      <c r="D394" s="11">
        <v>95.12</v>
      </c>
      <c r="E394" s="11">
        <v>37</v>
      </c>
      <c r="F394" s="11">
        <v>3519.44</v>
      </c>
      <c r="G394" s="12">
        <v>45046</v>
      </c>
      <c r="H394" s="12">
        <v>45269</v>
      </c>
      <c r="I394">
        <f t="shared" si="6"/>
        <v>1</v>
      </c>
    </row>
    <row r="395" spans="1:9" x14ac:dyDescent="0.3">
      <c r="A395" s="11">
        <v>48328</v>
      </c>
      <c r="B395" s="11" t="s">
        <v>16</v>
      </c>
      <c r="C395" s="11" t="s">
        <v>63</v>
      </c>
      <c r="D395" s="11">
        <v>611.66</v>
      </c>
      <c r="E395" s="11">
        <v>21</v>
      </c>
      <c r="F395" s="11">
        <v>12844.86</v>
      </c>
      <c r="G395" s="12">
        <v>45523</v>
      </c>
      <c r="H395" s="12">
        <v>45106</v>
      </c>
      <c r="I395" t="e">
        <f t="shared" si="6"/>
        <v>#NUM!</v>
      </c>
    </row>
    <row r="396" spans="1:9" x14ac:dyDescent="0.3">
      <c r="A396" s="11">
        <v>55489</v>
      </c>
      <c r="B396" s="11" t="s">
        <v>26</v>
      </c>
      <c r="C396" s="11" t="s">
        <v>60</v>
      </c>
      <c r="D396" s="11">
        <v>184.57</v>
      </c>
      <c r="E396" s="11">
        <v>38</v>
      </c>
      <c r="F396" s="11">
        <v>7013.66</v>
      </c>
      <c r="G396" s="12">
        <v>45037</v>
      </c>
      <c r="H396" s="12">
        <v>45121</v>
      </c>
      <c r="I396">
        <f t="shared" si="6"/>
        <v>1</v>
      </c>
    </row>
    <row r="397" spans="1:9" x14ac:dyDescent="0.3">
      <c r="A397" s="11">
        <v>30869</v>
      </c>
      <c r="B397" s="11" t="s">
        <v>11</v>
      </c>
      <c r="C397" s="11" t="s">
        <v>50</v>
      </c>
      <c r="D397" s="11">
        <v>468.95</v>
      </c>
      <c r="E397" s="11">
        <v>5</v>
      </c>
      <c r="F397" s="11">
        <v>2344.75</v>
      </c>
      <c r="G397" s="12">
        <v>45495</v>
      </c>
      <c r="H397" s="12">
        <v>45545</v>
      </c>
      <c r="I397">
        <f t="shared" si="6"/>
        <v>1</v>
      </c>
    </row>
    <row r="398" spans="1:9" x14ac:dyDescent="0.3">
      <c r="A398" s="11">
        <v>56902</v>
      </c>
      <c r="B398" s="11" t="s">
        <v>8</v>
      </c>
      <c r="C398" s="11" t="s">
        <v>34</v>
      </c>
      <c r="D398" s="11">
        <v>222.47</v>
      </c>
      <c r="E398" s="11">
        <v>13</v>
      </c>
      <c r="F398" s="11">
        <v>2892.11</v>
      </c>
      <c r="G398" s="12">
        <v>45041</v>
      </c>
      <c r="H398" s="12">
        <v>45524</v>
      </c>
      <c r="I398">
        <f t="shared" si="6"/>
        <v>1</v>
      </c>
    </row>
    <row r="399" spans="1:9" x14ac:dyDescent="0.3">
      <c r="A399" s="11">
        <v>82458</v>
      </c>
      <c r="B399" s="11" t="s">
        <v>21</v>
      </c>
      <c r="C399" s="11" t="s">
        <v>71</v>
      </c>
      <c r="D399" s="11">
        <v>870.6</v>
      </c>
      <c r="E399" s="11">
        <v>41</v>
      </c>
      <c r="F399" s="11">
        <v>35694.6</v>
      </c>
      <c r="G399" s="12">
        <v>45439</v>
      </c>
      <c r="H399" s="12">
        <v>45492</v>
      </c>
      <c r="I399">
        <f t="shared" si="6"/>
        <v>1</v>
      </c>
    </row>
    <row r="400" spans="1:9" x14ac:dyDescent="0.3">
      <c r="A400" s="11">
        <v>11128</v>
      </c>
      <c r="B400" s="11" t="s">
        <v>23</v>
      </c>
      <c r="C400" s="11" t="s">
        <v>31</v>
      </c>
      <c r="D400" s="11">
        <v>449.74</v>
      </c>
      <c r="E400" s="11">
        <v>21</v>
      </c>
      <c r="F400" s="11">
        <v>9444.5400000000009</v>
      </c>
      <c r="G400" s="12">
        <v>45262</v>
      </c>
      <c r="H400" s="12">
        <v>45517</v>
      </c>
      <c r="I400">
        <f t="shared" si="6"/>
        <v>1</v>
      </c>
    </row>
    <row r="401" spans="1:9" x14ac:dyDescent="0.3">
      <c r="A401" s="11">
        <v>31734</v>
      </c>
      <c r="B401" s="11" t="s">
        <v>19</v>
      </c>
      <c r="C401" s="11" t="s">
        <v>59</v>
      </c>
      <c r="D401" s="11">
        <v>346.37</v>
      </c>
      <c r="E401" s="11">
        <v>46</v>
      </c>
      <c r="F401" s="11">
        <v>15933.02</v>
      </c>
      <c r="G401" s="12">
        <v>45580</v>
      </c>
      <c r="H401" s="12">
        <v>45407</v>
      </c>
      <c r="I401" t="e">
        <f t="shared" si="6"/>
        <v>#NUM!</v>
      </c>
    </row>
    <row r="402" spans="1:9" x14ac:dyDescent="0.3">
      <c r="A402" s="11">
        <v>18349</v>
      </c>
      <c r="B402" s="11" t="s">
        <v>16</v>
      </c>
      <c r="C402" s="11" t="s">
        <v>56</v>
      </c>
      <c r="D402" s="11">
        <v>641.34</v>
      </c>
      <c r="E402" s="11">
        <v>50</v>
      </c>
      <c r="F402" s="11">
        <v>32067</v>
      </c>
      <c r="G402" s="12">
        <v>45295</v>
      </c>
      <c r="H402" s="12">
        <v>44950</v>
      </c>
      <c r="I402" t="e">
        <f t="shared" si="6"/>
        <v>#NUM!</v>
      </c>
    </row>
    <row r="403" spans="1:9" x14ac:dyDescent="0.3">
      <c r="A403" s="11">
        <v>49390</v>
      </c>
      <c r="B403" s="11" t="s">
        <v>9</v>
      </c>
      <c r="C403" s="11" t="s">
        <v>36</v>
      </c>
      <c r="D403" s="11">
        <v>596.97</v>
      </c>
      <c r="E403" s="11">
        <v>43</v>
      </c>
      <c r="F403" s="11">
        <v>25669.71</v>
      </c>
      <c r="G403" s="12">
        <v>45140</v>
      </c>
      <c r="H403" s="12">
        <v>45190</v>
      </c>
      <c r="I403">
        <f t="shared" si="6"/>
        <v>1</v>
      </c>
    </row>
    <row r="404" spans="1:9" x14ac:dyDescent="0.3">
      <c r="A404" s="11">
        <v>22580</v>
      </c>
      <c r="B404" s="11" t="s">
        <v>25</v>
      </c>
      <c r="C404" s="11" t="s">
        <v>76</v>
      </c>
      <c r="D404" s="11">
        <v>95.12</v>
      </c>
      <c r="E404" s="11">
        <v>25</v>
      </c>
      <c r="F404" s="11">
        <v>2378</v>
      </c>
      <c r="G404" s="12">
        <v>45096</v>
      </c>
      <c r="H404" s="12">
        <v>44985</v>
      </c>
      <c r="I404" t="e">
        <f t="shared" si="6"/>
        <v>#NUM!</v>
      </c>
    </row>
    <row r="405" spans="1:9" x14ac:dyDescent="0.3">
      <c r="A405" s="11">
        <v>39360</v>
      </c>
      <c r="B405" s="11" t="s">
        <v>26</v>
      </c>
      <c r="C405" s="11" t="s">
        <v>66</v>
      </c>
      <c r="D405" s="11">
        <v>45.72</v>
      </c>
      <c r="E405" s="11">
        <v>45</v>
      </c>
      <c r="F405" s="11">
        <v>2057.4</v>
      </c>
      <c r="G405" s="12">
        <v>45179</v>
      </c>
      <c r="H405" s="12">
        <v>45413</v>
      </c>
      <c r="I405">
        <f t="shared" si="6"/>
        <v>1</v>
      </c>
    </row>
    <row r="406" spans="1:9" x14ac:dyDescent="0.3">
      <c r="A406" s="11">
        <v>75768</v>
      </c>
      <c r="B406" s="11" t="s">
        <v>13</v>
      </c>
      <c r="C406" s="11" t="s">
        <v>62</v>
      </c>
      <c r="D406" s="11">
        <v>474.55</v>
      </c>
      <c r="E406" s="11">
        <v>12</v>
      </c>
      <c r="F406" s="11">
        <v>5694.6</v>
      </c>
      <c r="G406" s="12">
        <v>45528</v>
      </c>
      <c r="H406" s="12">
        <v>45535</v>
      </c>
      <c r="I406">
        <f t="shared" si="6"/>
        <v>0</v>
      </c>
    </row>
    <row r="407" spans="1:9" x14ac:dyDescent="0.3">
      <c r="A407" s="11">
        <v>85549</v>
      </c>
      <c r="B407" s="11" t="s">
        <v>23</v>
      </c>
      <c r="C407" s="11" t="s">
        <v>65</v>
      </c>
      <c r="D407" s="11">
        <v>753.12</v>
      </c>
      <c r="E407" s="11">
        <v>46</v>
      </c>
      <c r="F407" s="11">
        <v>34643.519999999997</v>
      </c>
      <c r="G407" s="12">
        <v>44998</v>
      </c>
      <c r="H407" s="12">
        <v>45584</v>
      </c>
      <c r="I407">
        <f t="shared" si="6"/>
        <v>1</v>
      </c>
    </row>
    <row r="408" spans="1:9" x14ac:dyDescent="0.3">
      <c r="A408" s="11">
        <v>64524</v>
      </c>
      <c r="B408" s="11" t="s">
        <v>21</v>
      </c>
      <c r="C408" s="11" t="s">
        <v>76</v>
      </c>
      <c r="D408" s="11">
        <v>95.12</v>
      </c>
      <c r="E408" s="11">
        <v>16</v>
      </c>
      <c r="F408" s="11">
        <v>1521.92</v>
      </c>
      <c r="G408" s="12">
        <v>45478</v>
      </c>
      <c r="H408" s="12">
        <v>45320</v>
      </c>
      <c r="I408" t="e">
        <f t="shared" si="6"/>
        <v>#NUM!</v>
      </c>
    </row>
    <row r="409" spans="1:9" x14ac:dyDescent="0.3">
      <c r="A409" s="11">
        <v>15458</v>
      </c>
      <c r="B409" s="11" t="s">
        <v>19</v>
      </c>
      <c r="C409" s="11" t="s">
        <v>59</v>
      </c>
      <c r="D409" s="11">
        <v>346.37</v>
      </c>
      <c r="E409" s="11">
        <v>38</v>
      </c>
      <c r="F409" s="11">
        <v>13162.06</v>
      </c>
      <c r="G409" s="12">
        <v>45591</v>
      </c>
      <c r="H409" s="12">
        <v>45344</v>
      </c>
      <c r="I409" t="e">
        <f t="shared" si="6"/>
        <v>#NUM!</v>
      </c>
    </row>
    <row r="410" spans="1:9" x14ac:dyDescent="0.3">
      <c r="A410" s="11">
        <v>92464</v>
      </c>
      <c r="B410" s="11" t="s">
        <v>25</v>
      </c>
      <c r="C410" s="11" t="s">
        <v>68</v>
      </c>
      <c r="D410" s="11">
        <v>795.19</v>
      </c>
      <c r="E410" s="11">
        <v>32</v>
      </c>
      <c r="F410" s="11">
        <v>25446.080000000002</v>
      </c>
      <c r="G410" s="12">
        <v>45094</v>
      </c>
      <c r="H410" s="12">
        <v>45472</v>
      </c>
      <c r="I410">
        <f t="shared" si="6"/>
        <v>1</v>
      </c>
    </row>
    <row r="411" spans="1:9" x14ac:dyDescent="0.3">
      <c r="A411" s="11">
        <v>60241</v>
      </c>
      <c r="B411" s="11" t="s">
        <v>17</v>
      </c>
      <c r="C411" s="11" t="s">
        <v>38</v>
      </c>
      <c r="D411" s="11">
        <v>233.83</v>
      </c>
      <c r="E411" s="11">
        <v>39</v>
      </c>
      <c r="F411" s="11">
        <v>9119.3700000000008</v>
      </c>
      <c r="G411" s="12">
        <v>45608</v>
      </c>
      <c r="H411" s="12">
        <v>45492</v>
      </c>
      <c r="I411" t="e">
        <f t="shared" si="6"/>
        <v>#NUM!</v>
      </c>
    </row>
    <row r="412" spans="1:9" x14ac:dyDescent="0.3">
      <c r="A412" s="11">
        <v>64461</v>
      </c>
      <c r="B412" s="11" t="s">
        <v>26</v>
      </c>
      <c r="C412" s="11" t="s">
        <v>44</v>
      </c>
      <c r="D412" s="11">
        <v>654.4</v>
      </c>
      <c r="E412" s="11">
        <v>21</v>
      </c>
      <c r="F412" s="11">
        <v>13742.4</v>
      </c>
      <c r="G412" s="12">
        <v>45141</v>
      </c>
      <c r="H412" s="12">
        <v>45094</v>
      </c>
      <c r="I412" t="e">
        <f t="shared" si="6"/>
        <v>#NUM!</v>
      </c>
    </row>
    <row r="413" spans="1:9" x14ac:dyDescent="0.3">
      <c r="A413" s="11">
        <v>34168</v>
      </c>
      <c r="B413" s="11" t="s">
        <v>20</v>
      </c>
      <c r="C413" s="11" t="s">
        <v>49</v>
      </c>
      <c r="D413" s="11">
        <v>534.77</v>
      </c>
      <c r="E413" s="11">
        <v>8</v>
      </c>
      <c r="F413" s="11">
        <v>4278.16</v>
      </c>
      <c r="G413" s="12">
        <v>45151</v>
      </c>
      <c r="H413" s="12">
        <v>45126</v>
      </c>
      <c r="I413" t="e">
        <f t="shared" si="6"/>
        <v>#NUM!</v>
      </c>
    </row>
    <row r="414" spans="1:9" x14ac:dyDescent="0.3">
      <c r="A414" s="11">
        <v>24032</v>
      </c>
      <c r="B414" s="11" t="s">
        <v>21</v>
      </c>
      <c r="C414" s="11" t="s">
        <v>54</v>
      </c>
      <c r="D414" s="11">
        <v>730.09</v>
      </c>
      <c r="E414" s="11">
        <v>33</v>
      </c>
      <c r="F414" s="11">
        <v>24092.97</v>
      </c>
      <c r="G414" s="12">
        <v>45267</v>
      </c>
      <c r="H414" s="12">
        <v>45616</v>
      </c>
      <c r="I414">
        <f t="shared" si="6"/>
        <v>1</v>
      </c>
    </row>
    <row r="415" spans="1:9" x14ac:dyDescent="0.3">
      <c r="A415" s="11">
        <v>58651</v>
      </c>
      <c r="B415" s="11" t="s">
        <v>8</v>
      </c>
      <c r="C415" s="11" t="s">
        <v>60</v>
      </c>
      <c r="D415" s="11">
        <v>184.57</v>
      </c>
      <c r="E415" s="11">
        <v>35</v>
      </c>
      <c r="F415" s="11">
        <v>6459.95</v>
      </c>
      <c r="G415" s="12">
        <v>45198</v>
      </c>
      <c r="H415" s="12">
        <v>45313</v>
      </c>
      <c r="I415">
        <f t="shared" si="6"/>
        <v>1</v>
      </c>
    </row>
    <row r="416" spans="1:9" x14ac:dyDescent="0.3">
      <c r="A416" s="11">
        <v>27771</v>
      </c>
      <c r="B416" s="11" t="s">
        <v>15</v>
      </c>
      <c r="C416" s="11" t="s">
        <v>52</v>
      </c>
      <c r="D416" s="11">
        <v>323.73</v>
      </c>
      <c r="E416" s="11">
        <v>13</v>
      </c>
      <c r="F416" s="11">
        <v>4208.49</v>
      </c>
      <c r="G416" s="12">
        <v>44985</v>
      </c>
      <c r="H416" s="12">
        <v>45169</v>
      </c>
      <c r="I416">
        <f t="shared" si="6"/>
        <v>1</v>
      </c>
    </row>
    <row r="417" spans="1:9" x14ac:dyDescent="0.3">
      <c r="A417" s="11">
        <v>92923</v>
      </c>
      <c r="B417" s="11" t="s">
        <v>8</v>
      </c>
      <c r="C417" s="11" t="s">
        <v>32</v>
      </c>
      <c r="D417" s="11">
        <v>546.64</v>
      </c>
      <c r="E417" s="11">
        <v>9</v>
      </c>
      <c r="F417" s="11">
        <v>4919.76</v>
      </c>
      <c r="G417" s="12">
        <v>45515</v>
      </c>
      <c r="H417" s="12">
        <v>45379</v>
      </c>
      <c r="I417" t="e">
        <f t="shared" si="6"/>
        <v>#NUM!</v>
      </c>
    </row>
    <row r="418" spans="1:9" x14ac:dyDescent="0.3">
      <c r="A418" s="11">
        <v>30865</v>
      </c>
      <c r="B418" s="11" t="s">
        <v>16</v>
      </c>
      <c r="C418" s="11" t="s">
        <v>74</v>
      </c>
      <c r="D418" s="11">
        <v>346.4</v>
      </c>
      <c r="E418" s="11">
        <v>31</v>
      </c>
      <c r="F418" s="11">
        <v>10738.4</v>
      </c>
      <c r="G418" s="12">
        <v>45120</v>
      </c>
      <c r="H418" s="12">
        <v>45122</v>
      </c>
      <c r="I418">
        <f t="shared" si="6"/>
        <v>0</v>
      </c>
    </row>
    <row r="419" spans="1:9" x14ac:dyDescent="0.3">
      <c r="A419" s="11">
        <v>21313</v>
      </c>
      <c r="B419" s="11" t="s">
        <v>10</v>
      </c>
      <c r="C419" s="11" t="s">
        <v>37</v>
      </c>
      <c r="D419" s="11">
        <v>796.94</v>
      </c>
      <c r="E419" s="11">
        <v>22</v>
      </c>
      <c r="F419" s="11">
        <v>17532.68</v>
      </c>
      <c r="G419" s="12">
        <v>45598</v>
      </c>
      <c r="H419" s="12">
        <v>45047</v>
      </c>
      <c r="I419" t="e">
        <f t="shared" si="6"/>
        <v>#NUM!</v>
      </c>
    </row>
    <row r="420" spans="1:9" x14ac:dyDescent="0.3">
      <c r="A420" s="11">
        <v>99839</v>
      </c>
      <c r="B420" s="11" t="s">
        <v>11</v>
      </c>
      <c r="C420" s="11" t="s">
        <v>47</v>
      </c>
      <c r="D420" s="11">
        <v>682.74</v>
      </c>
      <c r="E420" s="11">
        <v>48</v>
      </c>
      <c r="F420" s="11">
        <v>32771.519999999997</v>
      </c>
      <c r="G420" s="12">
        <v>45391</v>
      </c>
      <c r="H420" s="12">
        <v>45097</v>
      </c>
      <c r="I420" t="e">
        <f t="shared" si="6"/>
        <v>#NUM!</v>
      </c>
    </row>
    <row r="421" spans="1:9" x14ac:dyDescent="0.3">
      <c r="A421" s="11">
        <v>20391</v>
      </c>
      <c r="B421" s="11" t="s">
        <v>11</v>
      </c>
      <c r="C421" s="11" t="s">
        <v>36</v>
      </c>
      <c r="D421" s="11">
        <v>596.97</v>
      </c>
      <c r="E421" s="11">
        <v>41</v>
      </c>
      <c r="F421" s="11">
        <v>24475.77</v>
      </c>
      <c r="G421" s="12">
        <v>45045</v>
      </c>
      <c r="H421" s="12">
        <v>45264</v>
      </c>
      <c r="I421">
        <f t="shared" si="6"/>
        <v>1</v>
      </c>
    </row>
    <row r="422" spans="1:9" x14ac:dyDescent="0.3">
      <c r="A422" s="11">
        <v>99950</v>
      </c>
      <c r="B422" s="11" t="s">
        <v>15</v>
      </c>
      <c r="C422" s="11" t="s">
        <v>33</v>
      </c>
      <c r="D422" s="11">
        <v>622.16</v>
      </c>
      <c r="E422" s="11">
        <v>8</v>
      </c>
      <c r="F422" s="11">
        <v>4977.28</v>
      </c>
      <c r="G422" s="12">
        <v>45313</v>
      </c>
      <c r="H422" s="12">
        <v>45044</v>
      </c>
      <c r="I422" t="e">
        <f t="shared" si="6"/>
        <v>#NUM!</v>
      </c>
    </row>
    <row r="423" spans="1:9" x14ac:dyDescent="0.3">
      <c r="A423" s="11">
        <v>14984</v>
      </c>
      <c r="B423" s="11" t="s">
        <v>13</v>
      </c>
      <c r="C423" s="11" t="s">
        <v>36</v>
      </c>
      <c r="D423" s="11">
        <v>596.97</v>
      </c>
      <c r="E423" s="11">
        <v>21</v>
      </c>
      <c r="F423" s="11">
        <v>12536.37</v>
      </c>
      <c r="G423" s="12">
        <v>45054</v>
      </c>
      <c r="H423" s="12">
        <v>45102</v>
      </c>
      <c r="I423">
        <f t="shared" si="6"/>
        <v>1</v>
      </c>
    </row>
    <row r="424" spans="1:9" x14ac:dyDescent="0.3">
      <c r="A424" s="11">
        <v>69431</v>
      </c>
      <c r="B424" s="11" t="s">
        <v>13</v>
      </c>
      <c r="C424" s="11" t="s">
        <v>39</v>
      </c>
      <c r="D424" s="11">
        <v>988.47</v>
      </c>
      <c r="E424" s="11">
        <v>26</v>
      </c>
      <c r="F424" s="11">
        <v>25700.22</v>
      </c>
      <c r="G424" s="12">
        <v>45655</v>
      </c>
      <c r="H424" s="12">
        <v>45419</v>
      </c>
      <c r="I424" t="e">
        <f t="shared" si="6"/>
        <v>#NUM!</v>
      </c>
    </row>
    <row r="425" spans="1:9" x14ac:dyDescent="0.3">
      <c r="A425" s="11">
        <v>11640</v>
      </c>
      <c r="B425" s="11" t="s">
        <v>17</v>
      </c>
      <c r="C425" s="11" t="s">
        <v>76</v>
      </c>
      <c r="D425" s="11">
        <v>95.12</v>
      </c>
      <c r="E425" s="11">
        <v>41</v>
      </c>
      <c r="F425" s="11">
        <v>3899.92</v>
      </c>
      <c r="G425" s="12">
        <v>44983</v>
      </c>
      <c r="H425" s="12">
        <v>45183</v>
      </c>
      <c r="I425">
        <f t="shared" si="6"/>
        <v>1</v>
      </c>
    </row>
    <row r="426" spans="1:9" x14ac:dyDescent="0.3">
      <c r="A426" s="11">
        <v>62972</v>
      </c>
      <c r="B426" s="11" t="s">
        <v>18</v>
      </c>
      <c r="C426" s="11" t="s">
        <v>36</v>
      </c>
      <c r="D426" s="11">
        <v>596.97</v>
      </c>
      <c r="E426" s="11">
        <v>48</v>
      </c>
      <c r="F426" s="11">
        <v>28654.560000000001</v>
      </c>
      <c r="G426" s="12">
        <v>45308</v>
      </c>
      <c r="H426" s="12">
        <v>45348</v>
      </c>
      <c r="I426">
        <f t="shared" si="6"/>
        <v>1</v>
      </c>
    </row>
    <row r="427" spans="1:9" x14ac:dyDescent="0.3">
      <c r="A427" s="11">
        <v>65992</v>
      </c>
      <c r="B427" s="11" t="s">
        <v>11</v>
      </c>
      <c r="C427" s="11" t="s">
        <v>29</v>
      </c>
      <c r="D427" s="11">
        <v>683.98</v>
      </c>
      <c r="E427" s="11">
        <v>50</v>
      </c>
      <c r="F427" s="11">
        <v>34199</v>
      </c>
      <c r="G427" s="12">
        <v>45567</v>
      </c>
      <c r="H427" s="12">
        <v>45073</v>
      </c>
      <c r="I427" t="e">
        <f t="shared" si="6"/>
        <v>#NUM!</v>
      </c>
    </row>
    <row r="428" spans="1:9" x14ac:dyDescent="0.3">
      <c r="A428" s="11">
        <v>71180</v>
      </c>
      <c r="B428" s="11" t="s">
        <v>13</v>
      </c>
      <c r="C428" s="11" t="s">
        <v>29</v>
      </c>
      <c r="D428" s="11">
        <v>683.98</v>
      </c>
      <c r="E428" s="11">
        <v>25</v>
      </c>
      <c r="F428" s="11">
        <v>17099.5</v>
      </c>
      <c r="G428" s="12">
        <v>45421</v>
      </c>
      <c r="H428" s="12">
        <v>45402</v>
      </c>
      <c r="I428" t="e">
        <f t="shared" si="6"/>
        <v>#NUM!</v>
      </c>
    </row>
    <row r="429" spans="1:9" x14ac:dyDescent="0.3">
      <c r="A429" s="11">
        <v>82980</v>
      </c>
      <c r="B429" s="11" t="s">
        <v>19</v>
      </c>
      <c r="C429" s="11" t="s">
        <v>36</v>
      </c>
      <c r="D429" s="11">
        <v>596.97</v>
      </c>
      <c r="E429" s="11">
        <v>8</v>
      </c>
      <c r="F429" s="11">
        <v>4775.76</v>
      </c>
      <c r="G429" s="12">
        <v>45061</v>
      </c>
      <c r="H429" s="12">
        <v>45039</v>
      </c>
      <c r="I429" t="e">
        <f t="shared" si="6"/>
        <v>#NUM!</v>
      </c>
    </row>
    <row r="430" spans="1:9" x14ac:dyDescent="0.3">
      <c r="A430" s="11">
        <v>50913</v>
      </c>
      <c r="B430" s="11" t="s">
        <v>19</v>
      </c>
      <c r="C430" s="11" t="s">
        <v>69</v>
      </c>
      <c r="D430" s="11">
        <v>158.66999999999999</v>
      </c>
      <c r="E430" s="11">
        <v>44</v>
      </c>
      <c r="F430" s="11">
        <v>6981.48</v>
      </c>
      <c r="G430" s="12">
        <v>45406</v>
      </c>
      <c r="H430" s="12">
        <v>45507</v>
      </c>
      <c r="I430">
        <f t="shared" si="6"/>
        <v>1</v>
      </c>
    </row>
    <row r="431" spans="1:9" x14ac:dyDescent="0.3">
      <c r="A431" s="11">
        <v>39722</v>
      </c>
      <c r="B431" s="11" t="s">
        <v>23</v>
      </c>
      <c r="C431" s="11" t="s">
        <v>32</v>
      </c>
      <c r="D431" s="11">
        <v>546.64</v>
      </c>
      <c r="E431" s="11">
        <v>23</v>
      </c>
      <c r="F431" s="11">
        <v>12572.72</v>
      </c>
      <c r="G431" s="12">
        <v>45090</v>
      </c>
      <c r="H431" s="12">
        <v>44992</v>
      </c>
      <c r="I431" t="e">
        <f t="shared" si="6"/>
        <v>#NUM!</v>
      </c>
    </row>
    <row r="432" spans="1:9" x14ac:dyDescent="0.3">
      <c r="A432" s="11">
        <v>38628</v>
      </c>
      <c r="B432" s="11" t="s">
        <v>9</v>
      </c>
      <c r="C432" s="11" t="s">
        <v>66</v>
      </c>
      <c r="D432" s="11">
        <v>45.72</v>
      </c>
      <c r="E432" s="11">
        <v>45</v>
      </c>
      <c r="F432" s="11">
        <v>2057.4</v>
      </c>
      <c r="G432" s="12">
        <v>45564</v>
      </c>
      <c r="H432" s="12">
        <v>45132</v>
      </c>
      <c r="I432" t="e">
        <f t="shared" si="6"/>
        <v>#NUM!</v>
      </c>
    </row>
    <row r="433" spans="1:9" x14ac:dyDescent="0.3">
      <c r="A433" s="11">
        <v>85787</v>
      </c>
      <c r="B433" s="11" t="s">
        <v>18</v>
      </c>
      <c r="C433" s="11" t="s">
        <v>57</v>
      </c>
      <c r="D433" s="11">
        <v>404.9</v>
      </c>
      <c r="E433" s="11">
        <v>10</v>
      </c>
      <c r="F433" s="11">
        <v>4049</v>
      </c>
      <c r="G433" s="12">
        <v>44974</v>
      </c>
      <c r="H433" s="12">
        <v>45620</v>
      </c>
      <c r="I433">
        <f t="shared" si="6"/>
        <v>1</v>
      </c>
    </row>
    <row r="434" spans="1:9" x14ac:dyDescent="0.3">
      <c r="A434" s="11">
        <v>53349</v>
      </c>
      <c r="B434" s="11" t="s">
        <v>17</v>
      </c>
      <c r="C434" s="11" t="s">
        <v>46</v>
      </c>
      <c r="D434" s="11">
        <v>617.33000000000004</v>
      </c>
      <c r="E434" s="11">
        <v>14</v>
      </c>
      <c r="F434" s="11">
        <v>8642.6200000000008</v>
      </c>
      <c r="G434" s="12">
        <v>45093</v>
      </c>
      <c r="H434" s="12">
        <v>45376</v>
      </c>
      <c r="I434">
        <f t="shared" si="6"/>
        <v>1</v>
      </c>
    </row>
    <row r="435" spans="1:9" x14ac:dyDescent="0.3">
      <c r="A435" s="11">
        <v>64760</v>
      </c>
      <c r="B435" s="11" t="s">
        <v>25</v>
      </c>
      <c r="C435" s="11" t="s">
        <v>41</v>
      </c>
      <c r="D435" s="11">
        <v>110.41</v>
      </c>
      <c r="E435" s="11">
        <v>16</v>
      </c>
      <c r="F435" s="11">
        <v>1766.56</v>
      </c>
      <c r="G435" s="12">
        <v>44975</v>
      </c>
      <c r="H435" s="12">
        <v>45236</v>
      </c>
      <c r="I435">
        <f t="shared" si="6"/>
        <v>1</v>
      </c>
    </row>
    <row r="436" spans="1:9" x14ac:dyDescent="0.3">
      <c r="A436" s="11">
        <v>80566</v>
      </c>
      <c r="B436" s="11" t="s">
        <v>14</v>
      </c>
      <c r="C436" s="11" t="s">
        <v>68</v>
      </c>
      <c r="D436" s="11">
        <v>795.19</v>
      </c>
      <c r="E436" s="11">
        <v>43</v>
      </c>
      <c r="F436" s="11">
        <v>34193.17</v>
      </c>
      <c r="G436" s="12">
        <v>45150</v>
      </c>
      <c r="H436" s="12">
        <v>45589</v>
      </c>
      <c r="I436">
        <f t="shared" si="6"/>
        <v>1</v>
      </c>
    </row>
    <row r="437" spans="1:9" x14ac:dyDescent="0.3">
      <c r="A437" s="11">
        <v>57248</v>
      </c>
      <c r="B437" s="11" t="s">
        <v>17</v>
      </c>
      <c r="C437" s="11" t="s">
        <v>39</v>
      </c>
      <c r="D437" s="11">
        <v>988.47</v>
      </c>
      <c r="E437" s="11">
        <v>31</v>
      </c>
      <c r="F437" s="11">
        <v>30642.57</v>
      </c>
      <c r="G437" s="12">
        <v>45327</v>
      </c>
      <c r="H437" s="12">
        <v>45436</v>
      </c>
      <c r="I437">
        <f t="shared" si="6"/>
        <v>1</v>
      </c>
    </row>
    <row r="438" spans="1:9" x14ac:dyDescent="0.3">
      <c r="A438" s="11">
        <v>69370</v>
      </c>
      <c r="B438" s="11" t="s">
        <v>23</v>
      </c>
      <c r="C438" s="11" t="s">
        <v>49</v>
      </c>
      <c r="D438" s="11">
        <v>534.77</v>
      </c>
      <c r="E438" s="11">
        <v>6</v>
      </c>
      <c r="F438" s="11">
        <v>3208.62</v>
      </c>
      <c r="G438" s="12">
        <v>45358</v>
      </c>
      <c r="H438" s="12">
        <v>45425</v>
      </c>
      <c r="I438">
        <f t="shared" si="6"/>
        <v>1</v>
      </c>
    </row>
    <row r="439" spans="1:9" x14ac:dyDescent="0.3">
      <c r="A439" s="11">
        <v>30080</v>
      </c>
      <c r="B439" s="11" t="s">
        <v>18</v>
      </c>
      <c r="C439" s="11" t="s">
        <v>55</v>
      </c>
      <c r="D439" s="11">
        <v>399.32</v>
      </c>
      <c r="E439" s="11">
        <v>26</v>
      </c>
      <c r="F439" s="11">
        <v>10382.32</v>
      </c>
      <c r="G439" s="12">
        <v>45256</v>
      </c>
      <c r="H439" s="12">
        <v>45461</v>
      </c>
      <c r="I439">
        <f t="shared" si="6"/>
        <v>1</v>
      </c>
    </row>
    <row r="440" spans="1:9" x14ac:dyDescent="0.3">
      <c r="A440" s="11">
        <v>92744</v>
      </c>
      <c r="B440" s="11" t="s">
        <v>27</v>
      </c>
      <c r="C440" s="11" t="s">
        <v>53</v>
      </c>
      <c r="D440" s="11">
        <v>972.24</v>
      </c>
      <c r="E440" s="11">
        <v>12</v>
      </c>
      <c r="F440" s="11">
        <v>11666.88</v>
      </c>
      <c r="G440" s="12">
        <v>45216</v>
      </c>
      <c r="H440" s="12">
        <v>45450</v>
      </c>
      <c r="I440">
        <f t="shared" si="6"/>
        <v>1</v>
      </c>
    </row>
    <row r="441" spans="1:9" x14ac:dyDescent="0.3">
      <c r="A441" s="11">
        <v>38818</v>
      </c>
      <c r="B441" s="11" t="s">
        <v>10</v>
      </c>
      <c r="C441" s="11" t="s">
        <v>70</v>
      </c>
      <c r="D441" s="11">
        <v>430.1</v>
      </c>
      <c r="E441" s="11">
        <v>33</v>
      </c>
      <c r="F441" s="11">
        <v>14193.3</v>
      </c>
      <c r="G441" s="12">
        <v>45285</v>
      </c>
      <c r="H441" s="12">
        <v>45078</v>
      </c>
      <c r="I441" t="e">
        <f t="shared" si="6"/>
        <v>#NUM!</v>
      </c>
    </row>
    <row r="442" spans="1:9" x14ac:dyDescent="0.3">
      <c r="A442" s="11">
        <v>10768</v>
      </c>
      <c r="B442" s="11" t="s">
        <v>16</v>
      </c>
      <c r="C442" s="11" t="s">
        <v>75</v>
      </c>
      <c r="D442" s="11">
        <v>325</v>
      </c>
      <c r="E442" s="11">
        <v>32</v>
      </c>
      <c r="F442" s="11">
        <v>10400</v>
      </c>
      <c r="G442" s="12">
        <v>45265</v>
      </c>
      <c r="H442" s="12">
        <v>45122</v>
      </c>
      <c r="I442" t="e">
        <f t="shared" si="6"/>
        <v>#NUM!</v>
      </c>
    </row>
    <row r="443" spans="1:9" x14ac:dyDescent="0.3">
      <c r="A443" s="11">
        <v>20535</v>
      </c>
      <c r="B443" s="11" t="s">
        <v>26</v>
      </c>
      <c r="C443" s="11" t="s">
        <v>56</v>
      </c>
      <c r="D443" s="11">
        <v>641.34</v>
      </c>
      <c r="E443" s="11">
        <v>41</v>
      </c>
      <c r="F443" s="11">
        <v>26294.94</v>
      </c>
      <c r="G443" s="12">
        <v>45110</v>
      </c>
      <c r="H443" s="12">
        <v>45304</v>
      </c>
      <c r="I443">
        <f t="shared" si="6"/>
        <v>1</v>
      </c>
    </row>
    <row r="444" spans="1:9" x14ac:dyDescent="0.3">
      <c r="A444" s="11">
        <v>19347</v>
      </c>
      <c r="B444" s="11" t="s">
        <v>15</v>
      </c>
      <c r="C444" s="11" t="s">
        <v>29</v>
      </c>
      <c r="D444" s="11">
        <v>683.98</v>
      </c>
      <c r="E444" s="11">
        <v>35</v>
      </c>
      <c r="F444" s="11">
        <v>23939.3</v>
      </c>
      <c r="G444" s="12">
        <v>45231</v>
      </c>
      <c r="H444" s="12">
        <v>45245</v>
      </c>
      <c r="I444">
        <f t="shared" si="6"/>
        <v>0</v>
      </c>
    </row>
    <row r="445" spans="1:9" x14ac:dyDescent="0.3">
      <c r="A445" s="11">
        <v>21424</v>
      </c>
      <c r="B445" s="11" t="s">
        <v>18</v>
      </c>
      <c r="C445" s="11" t="s">
        <v>46</v>
      </c>
      <c r="D445" s="11">
        <v>617.33000000000004</v>
      </c>
      <c r="E445" s="11">
        <v>7</v>
      </c>
      <c r="F445" s="11">
        <v>4321.3100000000004</v>
      </c>
      <c r="G445" s="12">
        <v>45529</v>
      </c>
      <c r="H445" s="12">
        <v>45284</v>
      </c>
      <c r="I445" t="e">
        <f t="shared" si="6"/>
        <v>#NUM!</v>
      </c>
    </row>
    <row r="446" spans="1:9" x14ac:dyDescent="0.3">
      <c r="A446" s="11">
        <v>27229</v>
      </c>
      <c r="B446" s="11" t="s">
        <v>14</v>
      </c>
      <c r="C446" s="11" t="s">
        <v>56</v>
      </c>
      <c r="D446" s="11">
        <v>641.34</v>
      </c>
      <c r="E446" s="11">
        <v>7</v>
      </c>
      <c r="F446" s="11">
        <v>4489.38</v>
      </c>
      <c r="G446" s="12">
        <v>45250</v>
      </c>
      <c r="H446" s="12">
        <v>45276</v>
      </c>
      <c r="I446">
        <f t="shared" si="6"/>
        <v>1</v>
      </c>
    </row>
    <row r="447" spans="1:9" x14ac:dyDescent="0.3">
      <c r="A447" s="11">
        <v>75783</v>
      </c>
      <c r="B447" s="11" t="s">
        <v>27</v>
      </c>
      <c r="C447" s="11" t="s">
        <v>52</v>
      </c>
      <c r="D447" s="11">
        <v>323.73</v>
      </c>
      <c r="E447" s="11">
        <v>30</v>
      </c>
      <c r="F447" s="11">
        <v>9711.9</v>
      </c>
      <c r="G447" s="12">
        <v>45223</v>
      </c>
      <c r="H447" s="12">
        <v>45314</v>
      </c>
      <c r="I447">
        <f t="shared" si="6"/>
        <v>1</v>
      </c>
    </row>
    <row r="448" spans="1:9" x14ac:dyDescent="0.3">
      <c r="A448" s="11">
        <v>98733</v>
      </c>
      <c r="B448" s="11" t="s">
        <v>27</v>
      </c>
      <c r="C448" s="11" t="s">
        <v>54</v>
      </c>
      <c r="D448" s="11">
        <v>730.09</v>
      </c>
      <c r="E448" s="11">
        <v>35</v>
      </c>
      <c r="F448" s="11">
        <v>25553.15</v>
      </c>
      <c r="G448" s="12">
        <v>45165</v>
      </c>
      <c r="H448" s="12">
        <v>45230</v>
      </c>
      <c r="I448">
        <f t="shared" si="6"/>
        <v>1</v>
      </c>
    </row>
    <row r="449" spans="1:9" x14ac:dyDescent="0.3">
      <c r="A449" s="11">
        <v>92555</v>
      </c>
      <c r="B449" s="11" t="s">
        <v>8</v>
      </c>
      <c r="C449" s="11" t="s">
        <v>55</v>
      </c>
      <c r="D449" s="11">
        <v>399.32</v>
      </c>
      <c r="E449" s="11">
        <v>49</v>
      </c>
      <c r="F449" s="11">
        <v>19566.68</v>
      </c>
      <c r="G449" s="12">
        <v>44975</v>
      </c>
      <c r="H449" s="12">
        <v>45393</v>
      </c>
      <c r="I449">
        <f t="shared" si="6"/>
        <v>1</v>
      </c>
    </row>
    <row r="450" spans="1:9" x14ac:dyDescent="0.3">
      <c r="A450" s="11">
        <v>75835</v>
      </c>
      <c r="B450" s="11" t="s">
        <v>13</v>
      </c>
      <c r="C450" s="11" t="s">
        <v>46</v>
      </c>
      <c r="D450" s="11">
        <v>617.33000000000004</v>
      </c>
      <c r="E450" s="11">
        <v>3</v>
      </c>
      <c r="F450" s="11">
        <v>1851.99</v>
      </c>
      <c r="G450" s="12">
        <v>45461</v>
      </c>
      <c r="H450" s="12">
        <v>45270</v>
      </c>
      <c r="I450" t="e">
        <f t="shared" si="6"/>
        <v>#NUM!</v>
      </c>
    </row>
    <row r="451" spans="1:9" x14ac:dyDescent="0.3">
      <c r="A451" s="11">
        <v>23476</v>
      </c>
      <c r="B451" s="11" t="s">
        <v>27</v>
      </c>
      <c r="C451" s="11" t="s">
        <v>45</v>
      </c>
      <c r="D451" s="11">
        <v>366.3</v>
      </c>
      <c r="E451" s="11">
        <v>13</v>
      </c>
      <c r="F451" s="11">
        <v>4761.8999999999996</v>
      </c>
      <c r="G451" s="12">
        <v>45359</v>
      </c>
      <c r="H451" s="12">
        <v>45254</v>
      </c>
      <c r="I451" t="e">
        <f t="shared" ref="I451:I514" si="7">IF(DATEDIF(G451,H451,"d") &gt; 15,1,0)</f>
        <v>#NUM!</v>
      </c>
    </row>
    <row r="452" spans="1:9" x14ac:dyDescent="0.3">
      <c r="A452" s="11">
        <v>65385</v>
      </c>
      <c r="B452" s="11" t="s">
        <v>19</v>
      </c>
      <c r="C452" s="11" t="s">
        <v>31</v>
      </c>
      <c r="D452" s="11">
        <v>449.74</v>
      </c>
      <c r="E452" s="11">
        <v>14</v>
      </c>
      <c r="F452" s="11">
        <v>6296.36</v>
      </c>
      <c r="G452" s="12">
        <v>45300</v>
      </c>
      <c r="H452" s="12">
        <v>45258</v>
      </c>
      <c r="I452" t="e">
        <f t="shared" si="7"/>
        <v>#NUM!</v>
      </c>
    </row>
    <row r="453" spans="1:9" x14ac:dyDescent="0.3">
      <c r="A453" s="11">
        <v>15514</v>
      </c>
      <c r="B453" s="11" t="s">
        <v>11</v>
      </c>
      <c r="C453" s="11" t="s">
        <v>30</v>
      </c>
      <c r="D453" s="11">
        <v>68.05</v>
      </c>
      <c r="E453" s="11">
        <v>48</v>
      </c>
      <c r="F453" s="11">
        <v>3266.4</v>
      </c>
      <c r="G453" s="12">
        <v>45413</v>
      </c>
      <c r="H453" s="12">
        <v>45448</v>
      </c>
      <c r="I453">
        <f t="shared" si="7"/>
        <v>1</v>
      </c>
    </row>
    <row r="454" spans="1:9" x14ac:dyDescent="0.3">
      <c r="A454" s="11">
        <v>21209</v>
      </c>
      <c r="B454" s="11" t="s">
        <v>11</v>
      </c>
      <c r="C454" s="11" t="s">
        <v>29</v>
      </c>
      <c r="D454" s="11">
        <v>683.98</v>
      </c>
      <c r="E454" s="11">
        <v>41</v>
      </c>
      <c r="F454" s="11">
        <v>28043.18</v>
      </c>
      <c r="G454" s="12">
        <v>45223</v>
      </c>
      <c r="H454" s="12">
        <v>45622</v>
      </c>
      <c r="I454">
        <f t="shared" si="7"/>
        <v>1</v>
      </c>
    </row>
    <row r="455" spans="1:9" x14ac:dyDescent="0.3">
      <c r="A455" s="11">
        <v>25120</v>
      </c>
      <c r="B455" s="11" t="s">
        <v>21</v>
      </c>
      <c r="C455" s="11" t="s">
        <v>36</v>
      </c>
      <c r="D455" s="11">
        <v>596.97</v>
      </c>
      <c r="E455" s="11">
        <v>33</v>
      </c>
      <c r="F455" s="11">
        <v>19700.009999999998</v>
      </c>
      <c r="G455" s="12">
        <v>45342</v>
      </c>
      <c r="H455" s="12">
        <v>45104</v>
      </c>
      <c r="I455" t="e">
        <f t="shared" si="7"/>
        <v>#NUM!</v>
      </c>
    </row>
    <row r="456" spans="1:9" x14ac:dyDescent="0.3">
      <c r="A456" s="11">
        <v>73157</v>
      </c>
      <c r="B456" s="11" t="s">
        <v>14</v>
      </c>
      <c r="C456" s="11" t="s">
        <v>48</v>
      </c>
      <c r="D456" s="11">
        <v>93.68</v>
      </c>
      <c r="E456" s="11">
        <v>49</v>
      </c>
      <c r="F456" s="11">
        <v>4590.32</v>
      </c>
      <c r="G456" s="12">
        <v>45389</v>
      </c>
      <c r="H456" s="12">
        <v>44951</v>
      </c>
      <c r="I456" t="e">
        <f t="shared" si="7"/>
        <v>#NUM!</v>
      </c>
    </row>
    <row r="457" spans="1:9" x14ac:dyDescent="0.3">
      <c r="A457" s="11">
        <v>44812</v>
      </c>
      <c r="B457" s="11" t="s">
        <v>21</v>
      </c>
      <c r="C457" s="11" t="s">
        <v>71</v>
      </c>
      <c r="D457" s="11">
        <v>870.6</v>
      </c>
      <c r="E457" s="11">
        <v>6</v>
      </c>
      <c r="F457" s="11">
        <v>5223.6000000000004</v>
      </c>
      <c r="G457" s="12">
        <v>45627</v>
      </c>
      <c r="H457" s="12">
        <v>45189</v>
      </c>
      <c r="I457" t="e">
        <f t="shared" si="7"/>
        <v>#NUM!</v>
      </c>
    </row>
    <row r="458" spans="1:9" x14ac:dyDescent="0.3">
      <c r="A458" s="11">
        <v>26724</v>
      </c>
      <c r="B458" s="11" t="s">
        <v>24</v>
      </c>
      <c r="C458" s="11" t="s">
        <v>63</v>
      </c>
      <c r="D458" s="11">
        <v>611.66</v>
      </c>
      <c r="E458" s="11">
        <v>2</v>
      </c>
      <c r="F458" s="11">
        <v>1223.32</v>
      </c>
      <c r="G458" s="12">
        <v>45075</v>
      </c>
      <c r="H458" s="12">
        <v>45030</v>
      </c>
      <c r="I458" t="e">
        <f t="shared" si="7"/>
        <v>#NUM!</v>
      </c>
    </row>
    <row r="459" spans="1:9" x14ac:dyDescent="0.3">
      <c r="A459" s="11">
        <v>26525</v>
      </c>
      <c r="B459" s="11" t="s">
        <v>26</v>
      </c>
      <c r="C459" s="11" t="s">
        <v>67</v>
      </c>
      <c r="D459" s="11">
        <v>402.36</v>
      </c>
      <c r="E459" s="11">
        <v>48</v>
      </c>
      <c r="F459" s="11">
        <v>19313.28</v>
      </c>
      <c r="G459" s="12">
        <v>45501</v>
      </c>
      <c r="H459" s="12">
        <v>45158</v>
      </c>
      <c r="I459" t="e">
        <f t="shared" si="7"/>
        <v>#NUM!</v>
      </c>
    </row>
    <row r="460" spans="1:9" x14ac:dyDescent="0.3">
      <c r="A460" s="11">
        <v>74378</v>
      </c>
      <c r="B460" s="11" t="s">
        <v>25</v>
      </c>
      <c r="C460" s="11" t="s">
        <v>44</v>
      </c>
      <c r="D460" s="11">
        <v>654.4</v>
      </c>
      <c r="E460" s="11">
        <v>32</v>
      </c>
      <c r="F460" s="11">
        <v>20940.8</v>
      </c>
      <c r="G460" s="12">
        <v>45167</v>
      </c>
      <c r="H460" s="12">
        <v>44973</v>
      </c>
      <c r="I460" t="e">
        <f t="shared" si="7"/>
        <v>#NUM!</v>
      </c>
    </row>
    <row r="461" spans="1:9" x14ac:dyDescent="0.3">
      <c r="A461" s="11">
        <v>17598</v>
      </c>
      <c r="B461" s="11" t="s">
        <v>11</v>
      </c>
      <c r="C461" s="11" t="s">
        <v>56</v>
      </c>
      <c r="D461" s="11">
        <v>641.34</v>
      </c>
      <c r="E461" s="11">
        <v>16</v>
      </c>
      <c r="F461" s="11">
        <v>10261.44</v>
      </c>
      <c r="G461" s="12">
        <v>45454</v>
      </c>
      <c r="H461" s="12">
        <v>45482</v>
      </c>
      <c r="I461">
        <f t="shared" si="7"/>
        <v>1</v>
      </c>
    </row>
    <row r="462" spans="1:9" x14ac:dyDescent="0.3">
      <c r="A462" s="11">
        <v>46300</v>
      </c>
      <c r="B462" s="11" t="s">
        <v>8</v>
      </c>
      <c r="C462" s="11" t="s">
        <v>77</v>
      </c>
      <c r="D462" s="11">
        <v>761.92</v>
      </c>
      <c r="E462" s="11">
        <v>6</v>
      </c>
      <c r="F462" s="11">
        <v>4571.5200000000004</v>
      </c>
      <c r="G462" s="12">
        <v>45622</v>
      </c>
      <c r="H462" s="12">
        <v>45004</v>
      </c>
      <c r="I462" t="e">
        <f t="shared" si="7"/>
        <v>#NUM!</v>
      </c>
    </row>
    <row r="463" spans="1:9" x14ac:dyDescent="0.3">
      <c r="A463" s="11">
        <v>60123</v>
      </c>
      <c r="B463" s="11" t="s">
        <v>15</v>
      </c>
      <c r="C463" s="11" t="s">
        <v>57</v>
      </c>
      <c r="D463" s="11">
        <v>404.9</v>
      </c>
      <c r="E463" s="11">
        <v>49</v>
      </c>
      <c r="F463" s="11">
        <v>19840.099999999999</v>
      </c>
      <c r="G463" s="12">
        <v>45334</v>
      </c>
      <c r="H463" s="12">
        <v>45122</v>
      </c>
      <c r="I463" t="e">
        <f t="shared" si="7"/>
        <v>#NUM!</v>
      </c>
    </row>
    <row r="464" spans="1:9" x14ac:dyDescent="0.3">
      <c r="A464" s="11">
        <v>93696</v>
      </c>
      <c r="B464" s="11" t="s">
        <v>11</v>
      </c>
      <c r="C464" s="11" t="s">
        <v>43</v>
      </c>
      <c r="D464" s="11">
        <v>608.37</v>
      </c>
      <c r="E464" s="11">
        <v>29</v>
      </c>
      <c r="F464" s="11">
        <v>17642.73</v>
      </c>
      <c r="G464" s="12">
        <v>44966</v>
      </c>
      <c r="H464" s="12">
        <v>45235</v>
      </c>
      <c r="I464">
        <f t="shared" si="7"/>
        <v>1</v>
      </c>
    </row>
    <row r="465" spans="1:9" x14ac:dyDescent="0.3">
      <c r="A465" s="11">
        <v>29594</v>
      </c>
      <c r="B465" s="11" t="s">
        <v>19</v>
      </c>
      <c r="C465" s="11" t="s">
        <v>43</v>
      </c>
      <c r="D465" s="11">
        <v>608.37</v>
      </c>
      <c r="E465" s="11">
        <v>7</v>
      </c>
      <c r="F465" s="11">
        <v>4258.59</v>
      </c>
      <c r="G465" s="12">
        <v>45191</v>
      </c>
      <c r="H465" s="12">
        <v>45501</v>
      </c>
      <c r="I465">
        <f t="shared" si="7"/>
        <v>1</v>
      </c>
    </row>
    <row r="466" spans="1:9" x14ac:dyDescent="0.3">
      <c r="A466" s="11">
        <v>38139</v>
      </c>
      <c r="B466" s="11" t="s">
        <v>17</v>
      </c>
      <c r="C466" s="11" t="s">
        <v>28</v>
      </c>
      <c r="D466" s="11">
        <v>855.99</v>
      </c>
      <c r="E466" s="11">
        <v>32</v>
      </c>
      <c r="F466" s="11">
        <v>27391.68</v>
      </c>
      <c r="G466" s="12">
        <v>45555</v>
      </c>
      <c r="H466" s="12">
        <v>45608</v>
      </c>
      <c r="I466">
        <f t="shared" si="7"/>
        <v>1</v>
      </c>
    </row>
    <row r="467" spans="1:9" x14ac:dyDescent="0.3">
      <c r="A467" s="11">
        <v>42866</v>
      </c>
      <c r="B467" s="11" t="s">
        <v>24</v>
      </c>
      <c r="C467" s="11" t="s">
        <v>74</v>
      </c>
      <c r="D467" s="11">
        <v>346.4</v>
      </c>
      <c r="E467" s="11">
        <v>10</v>
      </c>
      <c r="F467" s="11">
        <v>3464</v>
      </c>
      <c r="G467" s="12">
        <v>45351</v>
      </c>
      <c r="H467" s="12">
        <v>45387</v>
      </c>
      <c r="I467">
        <f t="shared" si="7"/>
        <v>1</v>
      </c>
    </row>
    <row r="468" spans="1:9" x14ac:dyDescent="0.3">
      <c r="A468" s="11">
        <v>53025</v>
      </c>
      <c r="B468" s="11" t="s">
        <v>24</v>
      </c>
      <c r="C468" s="11" t="s">
        <v>36</v>
      </c>
      <c r="D468" s="11">
        <v>596.97</v>
      </c>
      <c r="E468" s="11">
        <v>47</v>
      </c>
      <c r="F468" s="11">
        <v>28057.59</v>
      </c>
      <c r="G468" s="12">
        <v>45188</v>
      </c>
      <c r="H468" s="12">
        <v>45146</v>
      </c>
      <c r="I468" t="e">
        <f t="shared" si="7"/>
        <v>#NUM!</v>
      </c>
    </row>
    <row r="469" spans="1:9" x14ac:dyDescent="0.3">
      <c r="A469" s="11">
        <v>53700</v>
      </c>
      <c r="B469" s="11" t="s">
        <v>13</v>
      </c>
      <c r="C469" s="11" t="s">
        <v>52</v>
      </c>
      <c r="D469" s="11">
        <v>323.73</v>
      </c>
      <c r="E469" s="11">
        <v>4</v>
      </c>
      <c r="F469" s="11">
        <v>1294.92</v>
      </c>
      <c r="G469" s="12">
        <v>45503</v>
      </c>
      <c r="H469" s="12">
        <v>45603</v>
      </c>
      <c r="I469">
        <f t="shared" si="7"/>
        <v>1</v>
      </c>
    </row>
    <row r="470" spans="1:9" x14ac:dyDescent="0.3">
      <c r="A470" s="11">
        <v>19229</v>
      </c>
      <c r="B470" s="11" t="s">
        <v>17</v>
      </c>
      <c r="C470" s="11" t="s">
        <v>71</v>
      </c>
      <c r="D470" s="11">
        <v>870.6</v>
      </c>
      <c r="E470" s="11">
        <v>34</v>
      </c>
      <c r="F470" s="11">
        <v>29600.400000000001</v>
      </c>
      <c r="G470" s="12">
        <v>45226</v>
      </c>
      <c r="H470" s="12">
        <v>45497</v>
      </c>
      <c r="I470">
        <f t="shared" si="7"/>
        <v>1</v>
      </c>
    </row>
    <row r="471" spans="1:9" x14ac:dyDescent="0.3">
      <c r="A471" s="11">
        <v>19458</v>
      </c>
      <c r="B471" s="11" t="s">
        <v>12</v>
      </c>
      <c r="C471" s="11" t="s">
        <v>44</v>
      </c>
      <c r="D471" s="11">
        <v>654.4</v>
      </c>
      <c r="E471" s="11">
        <v>19</v>
      </c>
      <c r="F471" s="11">
        <v>12433.6</v>
      </c>
      <c r="G471" s="12">
        <v>45269</v>
      </c>
      <c r="H471" s="12">
        <v>45057</v>
      </c>
      <c r="I471" t="e">
        <f t="shared" si="7"/>
        <v>#NUM!</v>
      </c>
    </row>
    <row r="472" spans="1:9" x14ac:dyDescent="0.3">
      <c r="A472" s="11">
        <v>71761</v>
      </c>
      <c r="B472" s="11" t="s">
        <v>8</v>
      </c>
      <c r="C472" s="11" t="s">
        <v>48</v>
      </c>
      <c r="D472" s="11">
        <v>93.68</v>
      </c>
      <c r="E472" s="11">
        <v>34</v>
      </c>
      <c r="F472" s="11">
        <v>3185.12</v>
      </c>
      <c r="G472" s="12">
        <v>45184</v>
      </c>
      <c r="H472" s="12">
        <v>45362</v>
      </c>
      <c r="I472">
        <f t="shared" si="7"/>
        <v>1</v>
      </c>
    </row>
    <row r="473" spans="1:9" x14ac:dyDescent="0.3">
      <c r="A473" s="11">
        <v>53301</v>
      </c>
      <c r="B473" s="11" t="s">
        <v>14</v>
      </c>
      <c r="C473" s="11" t="s">
        <v>70</v>
      </c>
      <c r="D473" s="11">
        <v>430.1</v>
      </c>
      <c r="E473" s="11">
        <v>27</v>
      </c>
      <c r="F473" s="11">
        <v>11612.7</v>
      </c>
      <c r="G473" s="12">
        <v>45289</v>
      </c>
      <c r="H473" s="12">
        <v>45049</v>
      </c>
      <c r="I473" t="e">
        <f t="shared" si="7"/>
        <v>#NUM!</v>
      </c>
    </row>
    <row r="474" spans="1:9" x14ac:dyDescent="0.3">
      <c r="A474" s="11">
        <v>44105</v>
      </c>
      <c r="B474" s="11" t="s">
        <v>10</v>
      </c>
      <c r="C474" s="11" t="s">
        <v>71</v>
      </c>
      <c r="D474" s="11">
        <v>870.6</v>
      </c>
      <c r="E474" s="11">
        <v>6</v>
      </c>
      <c r="F474" s="11">
        <v>5223.6000000000004</v>
      </c>
      <c r="G474" s="12">
        <v>45327</v>
      </c>
      <c r="H474" s="12">
        <v>45112</v>
      </c>
      <c r="I474" t="e">
        <f t="shared" si="7"/>
        <v>#NUM!</v>
      </c>
    </row>
    <row r="475" spans="1:9" x14ac:dyDescent="0.3">
      <c r="A475" s="11">
        <v>97893</v>
      </c>
      <c r="B475" s="11" t="s">
        <v>18</v>
      </c>
      <c r="C475" s="11" t="s">
        <v>56</v>
      </c>
      <c r="D475" s="11">
        <v>641.34</v>
      </c>
      <c r="E475" s="11">
        <v>33</v>
      </c>
      <c r="F475" s="11">
        <v>21164.22</v>
      </c>
      <c r="G475" s="12">
        <v>45480</v>
      </c>
      <c r="H475" s="12">
        <v>45427</v>
      </c>
      <c r="I475" t="e">
        <f t="shared" si="7"/>
        <v>#NUM!</v>
      </c>
    </row>
    <row r="476" spans="1:9" x14ac:dyDescent="0.3">
      <c r="A476" s="11">
        <v>25766</v>
      </c>
      <c r="B476" s="11" t="s">
        <v>17</v>
      </c>
      <c r="C476" s="11" t="s">
        <v>77</v>
      </c>
      <c r="D476" s="11">
        <v>761.92</v>
      </c>
      <c r="E476" s="11">
        <v>21</v>
      </c>
      <c r="F476" s="11">
        <v>16000.32</v>
      </c>
      <c r="G476" s="12">
        <v>45312</v>
      </c>
      <c r="H476" s="12">
        <v>45389</v>
      </c>
      <c r="I476">
        <f t="shared" si="7"/>
        <v>1</v>
      </c>
    </row>
    <row r="477" spans="1:9" x14ac:dyDescent="0.3">
      <c r="A477" s="11">
        <v>98086</v>
      </c>
      <c r="B477" s="11" t="s">
        <v>15</v>
      </c>
      <c r="C477" s="11" t="s">
        <v>75</v>
      </c>
      <c r="D477" s="11">
        <v>325</v>
      </c>
      <c r="E477" s="11">
        <v>15</v>
      </c>
      <c r="F477" s="11">
        <v>4875</v>
      </c>
      <c r="G477" s="12">
        <v>45275</v>
      </c>
      <c r="H477" s="12">
        <v>45010</v>
      </c>
      <c r="I477" t="e">
        <f t="shared" si="7"/>
        <v>#NUM!</v>
      </c>
    </row>
    <row r="478" spans="1:9" x14ac:dyDescent="0.3">
      <c r="A478" s="11">
        <v>23888</v>
      </c>
      <c r="B478" s="11" t="s">
        <v>10</v>
      </c>
      <c r="C478" s="11" t="s">
        <v>67</v>
      </c>
      <c r="D478" s="11">
        <v>402.36</v>
      </c>
      <c r="E478" s="11">
        <v>33</v>
      </c>
      <c r="F478" s="11">
        <v>13277.88</v>
      </c>
      <c r="G478" s="12">
        <v>45389</v>
      </c>
      <c r="H478" s="12">
        <v>45420</v>
      </c>
      <c r="I478">
        <f t="shared" si="7"/>
        <v>1</v>
      </c>
    </row>
    <row r="479" spans="1:9" x14ac:dyDescent="0.3">
      <c r="A479" s="11">
        <v>33185</v>
      </c>
      <c r="B479" s="11" t="s">
        <v>18</v>
      </c>
      <c r="C479" s="11" t="s">
        <v>33</v>
      </c>
      <c r="D479" s="11">
        <v>622.16</v>
      </c>
      <c r="E479" s="11">
        <v>3</v>
      </c>
      <c r="F479" s="11">
        <v>1866.48</v>
      </c>
      <c r="G479" s="12">
        <v>45638</v>
      </c>
      <c r="H479" s="12">
        <v>45085</v>
      </c>
      <c r="I479" t="e">
        <f t="shared" si="7"/>
        <v>#NUM!</v>
      </c>
    </row>
    <row r="480" spans="1:9" x14ac:dyDescent="0.3">
      <c r="A480" s="11">
        <v>91404</v>
      </c>
      <c r="B480" s="11" t="s">
        <v>16</v>
      </c>
      <c r="C480" s="11" t="s">
        <v>47</v>
      </c>
      <c r="D480" s="11">
        <v>682.74</v>
      </c>
      <c r="E480" s="11">
        <v>26</v>
      </c>
      <c r="F480" s="11">
        <v>17751.240000000002</v>
      </c>
      <c r="G480" s="12">
        <v>45370</v>
      </c>
      <c r="H480" s="12">
        <v>45601</v>
      </c>
      <c r="I480">
        <f t="shared" si="7"/>
        <v>1</v>
      </c>
    </row>
    <row r="481" spans="1:9" x14ac:dyDescent="0.3">
      <c r="A481" s="11">
        <v>16528</v>
      </c>
      <c r="B481" s="11" t="s">
        <v>27</v>
      </c>
      <c r="C481" s="11" t="s">
        <v>39</v>
      </c>
      <c r="D481" s="11">
        <v>988.47</v>
      </c>
      <c r="E481" s="11">
        <v>29</v>
      </c>
      <c r="F481" s="11">
        <v>28665.63</v>
      </c>
      <c r="G481" s="12">
        <v>45275</v>
      </c>
      <c r="H481" s="12">
        <v>45292</v>
      </c>
      <c r="I481">
        <f t="shared" si="7"/>
        <v>1</v>
      </c>
    </row>
    <row r="482" spans="1:9" x14ac:dyDescent="0.3">
      <c r="A482" s="11">
        <v>68437</v>
      </c>
      <c r="B482" s="11" t="s">
        <v>19</v>
      </c>
      <c r="C482" s="11" t="s">
        <v>45</v>
      </c>
      <c r="D482" s="11">
        <v>366.3</v>
      </c>
      <c r="E482" s="11">
        <v>8</v>
      </c>
      <c r="F482" s="11">
        <v>2930.4</v>
      </c>
      <c r="G482" s="12">
        <v>45295</v>
      </c>
      <c r="H482" s="12">
        <v>45182</v>
      </c>
      <c r="I482" t="e">
        <f t="shared" si="7"/>
        <v>#NUM!</v>
      </c>
    </row>
    <row r="483" spans="1:9" x14ac:dyDescent="0.3">
      <c r="A483" s="11">
        <v>66092</v>
      </c>
      <c r="B483" s="11" t="s">
        <v>8</v>
      </c>
      <c r="C483" s="11" t="s">
        <v>69</v>
      </c>
      <c r="D483" s="11">
        <v>158.66999999999999</v>
      </c>
      <c r="E483" s="11">
        <v>10</v>
      </c>
      <c r="F483" s="11">
        <v>1586.7</v>
      </c>
      <c r="G483" s="12">
        <v>44996</v>
      </c>
      <c r="H483" s="12">
        <v>45042</v>
      </c>
      <c r="I483">
        <f t="shared" si="7"/>
        <v>1</v>
      </c>
    </row>
    <row r="484" spans="1:9" x14ac:dyDescent="0.3">
      <c r="A484" s="11">
        <v>12555</v>
      </c>
      <c r="B484" s="11" t="s">
        <v>17</v>
      </c>
      <c r="C484" s="11" t="s">
        <v>49</v>
      </c>
      <c r="D484" s="11">
        <v>534.77</v>
      </c>
      <c r="E484" s="11">
        <v>34</v>
      </c>
      <c r="F484" s="11">
        <v>18182.18</v>
      </c>
      <c r="G484" s="12">
        <v>45011</v>
      </c>
      <c r="H484" s="12">
        <v>45598</v>
      </c>
      <c r="I484">
        <f t="shared" si="7"/>
        <v>1</v>
      </c>
    </row>
    <row r="485" spans="1:9" x14ac:dyDescent="0.3">
      <c r="A485" s="11">
        <v>81085</v>
      </c>
      <c r="B485" s="11" t="s">
        <v>18</v>
      </c>
      <c r="C485" s="11" t="s">
        <v>46</v>
      </c>
      <c r="D485" s="11">
        <v>617.33000000000004</v>
      </c>
      <c r="E485" s="11">
        <v>42</v>
      </c>
      <c r="F485" s="11">
        <v>25927.86</v>
      </c>
      <c r="G485" s="12">
        <v>45296</v>
      </c>
      <c r="H485" s="12">
        <v>45602</v>
      </c>
      <c r="I485">
        <f t="shared" si="7"/>
        <v>1</v>
      </c>
    </row>
    <row r="486" spans="1:9" x14ac:dyDescent="0.3">
      <c r="A486" s="11">
        <v>66246</v>
      </c>
      <c r="B486" s="11" t="s">
        <v>9</v>
      </c>
      <c r="C486" s="11" t="s">
        <v>60</v>
      </c>
      <c r="D486" s="11">
        <v>184.57</v>
      </c>
      <c r="E486" s="11">
        <v>6</v>
      </c>
      <c r="F486" s="11">
        <v>1107.42</v>
      </c>
      <c r="G486" s="12">
        <v>45664</v>
      </c>
      <c r="H486" s="12">
        <v>45653</v>
      </c>
      <c r="I486" t="e">
        <f t="shared" si="7"/>
        <v>#NUM!</v>
      </c>
    </row>
    <row r="487" spans="1:9" x14ac:dyDescent="0.3">
      <c r="A487" s="11">
        <v>36177</v>
      </c>
      <c r="B487" s="11" t="s">
        <v>10</v>
      </c>
      <c r="C487" s="11" t="s">
        <v>53</v>
      </c>
      <c r="D487" s="11">
        <v>972.24</v>
      </c>
      <c r="E487" s="11">
        <v>29</v>
      </c>
      <c r="F487" s="11">
        <v>28194.959999999999</v>
      </c>
      <c r="G487" s="12">
        <v>45551</v>
      </c>
      <c r="H487" s="12">
        <v>45453</v>
      </c>
      <c r="I487" t="e">
        <f t="shared" si="7"/>
        <v>#NUM!</v>
      </c>
    </row>
    <row r="488" spans="1:9" x14ac:dyDescent="0.3">
      <c r="A488" s="11">
        <v>20151</v>
      </c>
      <c r="B488" s="11" t="s">
        <v>17</v>
      </c>
      <c r="C488" s="11" t="s">
        <v>33</v>
      </c>
      <c r="D488" s="11">
        <v>622.16</v>
      </c>
      <c r="E488" s="11">
        <v>5</v>
      </c>
      <c r="F488" s="11">
        <v>3110.8</v>
      </c>
      <c r="G488" s="12">
        <v>45008</v>
      </c>
      <c r="H488" s="12">
        <v>45213</v>
      </c>
      <c r="I488">
        <f t="shared" si="7"/>
        <v>1</v>
      </c>
    </row>
    <row r="489" spans="1:9" x14ac:dyDescent="0.3">
      <c r="A489" s="11">
        <v>52020</v>
      </c>
      <c r="B489" s="11" t="s">
        <v>20</v>
      </c>
      <c r="C489" s="11" t="s">
        <v>66</v>
      </c>
      <c r="D489" s="11">
        <v>45.72</v>
      </c>
      <c r="E489" s="11">
        <v>17</v>
      </c>
      <c r="F489" s="11">
        <v>777.24</v>
      </c>
      <c r="G489" s="12">
        <v>45157</v>
      </c>
      <c r="H489" s="12">
        <v>45525</v>
      </c>
      <c r="I489">
        <f t="shared" si="7"/>
        <v>1</v>
      </c>
    </row>
    <row r="490" spans="1:9" x14ac:dyDescent="0.3">
      <c r="A490" s="11">
        <v>73066</v>
      </c>
      <c r="B490" s="11" t="s">
        <v>16</v>
      </c>
      <c r="C490" s="11" t="s">
        <v>40</v>
      </c>
      <c r="D490" s="11">
        <v>875.47</v>
      </c>
      <c r="E490" s="11">
        <v>44</v>
      </c>
      <c r="F490" s="11">
        <v>38520.68</v>
      </c>
      <c r="G490" s="12">
        <v>45627</v>
      </c>
      <c r="H490" s="12">
        <v>45551</v>
      </c>
      <c r="I490" t="e">
        <f t="shared" si="7"/>
        <v>#NUM!</v>
      </c>
    </row>
    <row r="491" spans="1:9" x14ac:dyDescent="0.3">
      <c r="A491" s="11">
        <v>65142</v>
      </c>
      <c r="B491" s="11" t="s">
        <v>13</v>
      </c>
      <c r="C491" s="11" t="s">
        <v>39</v>
      </c>
      <c r="D491" s="11">
        <v>988.47</v>
      </c>
      <c r="E491" s="11">
        <v>45</v>
      </c>
      <c r="F491" s="11">
        <v>44481.15</v>
      </c>
      <c r="G491" s="12">
        <v>45017</v>
      </c>
      <c r="H491" s="12">
        <v>44959</v>
      </c>
      <c r="I491" t="e">
        <f t="shared" si="7"/>
        <v>#NUM!</v>
      </c>
    </row>
    <row r="492" spans="1:9" x14ac:dyDescent="0.3">
      <c r="A492" s="11">
        <v>12104</v>
      </c>
      <c r="B492" s="11" t="s">
        <v>24</v>
      </c>
      <c r="C492" s="11" t="s">
        <v>35</v>
      </c>
      <c r="D492" s="11">
        <v>101.12</v>
      </c>
      <c r="E492" s="11">
        <v>47</v>
      </c>
      <c r="F492" s="11">
        <v>4752.6400000000003</v>
      </c>
      <c r="G492" s="12">
        <v>45252</v>
      </c>
      <c r="H492" s="12">
        <v>45023</v>
      </c>
      <c r="I492" t="e">
        <f t="shared" si="7"/>
        <v>#NUM!</v>
      </c>
    </row>
    <row r="493" spans="1:9" x14ac:dyDescent="0.3">
      <c r="A493" s="11">
        <v>89560</v>
      </c>
      <c r="B493" s="11" t="s">
        <v>14</v>
      </c>
      <c r="C493" s="11" t="s">
        <v>44</v>
      </c>
      <c r="D493" s="11">
        <v>654.4</v>
      </c>
      <c r="E493" s="11">
        <v>34</v>
      </c>
      <c r="F493" s="11">
        <v>22249.599999999999</v>
      </c>
      <c r="G493" s="12">
        <v>45029</v>
      </c>
      <c r="H493" s="12">
        <v>45033</v>
      </c>
      <c r="I493">
        <f t="shared" si="7"/>
        <v>0</v>
      </c>
    </row>
    <row r="494" spans="1:9" x14ac:dyDescent="0.3">
      <c r="A494" s="11">
        <v>20982</v>
      </c>
      <c r="B494" s="11" t="s">
        <v>15</v>
      </c>
      <c r="C494" s="11" t="s">
        <v>52</v>
      </c>
      <c r="D494" s="11">
        <v>323.73</v>
      </c>
      <c r="E494" s="11">
        <v>19</v>
      </c>
      <c r="F494" s="11">
        <v>6150.87</v>
      </c>
      <c r="G494" s="12">
        <v>45676</v>
      </c>
      <c r="H494" s="12">
        <v>45264</v>
      </c>
      <c r="I494" t="e">
        <f t="shared" si="7"/>
        <v>#NUM!</v>
      </c>
    </row>
    <row r="495" spans="1:9" x14ac:dyDescent="0.3">
      <c r="A495" s="11">
        <v>60668</v>
      </c>
      <c r="B495" s="11" t="s">
        <v>16</v>
      </c>
      <c r="C495" s="11" t="s">
        <v>57</v>
      </c>
      <c r="D495" s="11">
        <v>404.9</v>
      </c>
      <c r="E495" s="11">
        <v>50</v>
      </c>
      <c r="F495" s="11">
        <v>20245</v>
      </c>
      <c r="G495" s="12">
        <v>45540</v>
      </c>
      <c r="H495" s="12">
        <v>45515</v>
      </c>
      <c r="I495" t="e">
        <f t="shared" si="7"/>
        <v>#NUM!</v>
      </c>
    </row>
    <row r="496" spans="1:9" x14ac:dyDescent="0.3">
      <c r="A496" s="11">
        <v>35124</v>
      </c>
      <c r="B496" s="11" t="s">
        <v>8</v>
      </c>
      <c r="C496" s="11" t="s">
        <v>41</v>
      </c>
      <c r="D496" s="11">
        <v>110.41</v>
      </c>
      <c r="E496" s="11">
        <v>45</v>
      </c>
      <c r="F496" s="11">
        <v>4968.45</v>
      </c>
      <c r="G496" s="12">
        <v>45015</v>
      </c>
      <c r="H496" s="12">
        <v>44976</v>
      </c>
      <c r="I496" t="e">
        <f t="shared" si="7"/>
        <v>#NUM!</v>
      </c>
    </row>
    <row r="497" spans="1:9" x14ac:dyDescent="0.3">
      <c r="A497" s="11">
        <v>70560</v>
      </c>
      <c r="B497" s="11" t="s">
        <v>19</v>
      </c>
      <c r="C497" s="11" t="s">
        <v>51</v>
      </c>
      <c r="D497" s="11">
        <v>533.15</v>
      </c>
      <c r="E497" s="11">
        <v>8</v>
      </c>
      <c r="F497" s="11">
        <v>4265.2</v>
      </c>
      <c r="G497" s="12">
        <v>45326</v>
      </c>
      <c r="H497" s="12">
        <v>45575</v>
      </c>
      <c r="I497">
        <f t="shared" si="7"/>
        <v>1</v>
      </c>
    </row>
    <row r="498" spans="1:9" x14ac:dyDescent="0.3">
      <c r="A498" s="11">
        <v>73011</v>
      </c>
      <c r="B498" s="11" t="s">
        <v>26</v>
      </c>
      <c r="C498" s="11" t="s">
        <v>77</v>
      </c>
      <c r="D498" s="11">
        <v>761.92</v>
      </c>
      <c r="E498" s="11">
        <v>41</v>
      </c>
      <c r="F498" s="11">
        <v>31238.720000000001</v>
      </c>
      <c r="G498" s="12">
        <v>45002</v>
      </c>
      <c r="H498" s="12">
        <v>45634</v>
      </c>
      <c r="I498">
        <f t="shared" si="7"/>
        <v>1</v>
      </c>
    </row>
    <row r="499" spans="1:9" x14ac:dyDescent="0.3">
      <c r="A499" s="11">
        <v>51003</v>
      </c>
      <c r="B499" s="11" t="s">
        <v>12</v>
      </c>
      <c r="C499" s="11" t="s">
        <v>65</v>
      </c>
      <c r="D499" s="11">
        <v>753.12</v>
      </c>
      <c r="E499" s="11">
        <v>21</v>
      </c>
      <c r="F499" s="11">
        <v>15815.52</v>
      </c>
      <c r="G499" s="12">
        <v>45263</v>
      </c>
      <c r="H499" s="12">
        <v>45431</v>
      </c>
      <c r="I499">
        <f t="shared" si="7"/>
        <v>1</v>
      </c>
    </row>
    <row r="500" spans="1:9" x14ac:dyDescent="0.3">
      <c r="A500" s="11">
        <v>34678</v>
      </c>
      <c r="B500" s="11" t="s">
        <v>18</v>
      </c>
      <c r="C500" s="11" t="s">
        <v>51</v>
      </c>
      <c r="D500" s="11">
        <v>533.15</v>
      </c>
      <c r="E500" s="11">
        <v>41</v>
      </c>
      <c r="F500" s="11">
        <v>21859.15</v>
      </c>
      <c r="G500" s="12">
        <v>45574</v>
      </c>
      <c r="H500" s="12">
        <v>45135</v>
      </c>
      <c r="I500" t="e">
        <f t="shared" si="7"/>
        <v>#NUM!</v>
      </c>
    </row>
    <row r="501" spans="1:9" x14ac:dyDescent="0.3">
      <c r="A501" s="11">
        <v>15379</v>
      </c>
      <c r="B501" s="11" t="s">
        <v>26</v>
      </c>
      <c r="C501" s="11" t="s">
        <v>68</v>
      </c>
      <c r="D501" s="11">
        <v>795.19</v>
      </c>
      <c r="E501" s="11">
        <v>11</v>
      </c>
      <c r="F501" s="11">
        <v>8747.09</v>
      </c>
      <c r="G501" s="12">
        <v>45656</v>
      </c>
      <c r="H501" s="12">
        <v>45080</v>
      </c>
      <c r="I501" t="e">
        <f t="shared" si="7"/>
        <v>#NUM!</v>
      </c>
    </row>
    <row r="502" spans="1:9" x14ac:dyDescent="0.3">
      <c r="A502" s="11">
        <v>99485</v>
      </c>
      <c r="B502" s="11" t="s">
        <v>19</v>
      </c>
      <c r="C502" s="11" t="s">
        <v>76</v>
      </c>
      <c r="D502" s="11">
        <v>95.12</v>
      </c>
      <c r="E502" s="11">
        <v>23</v>
      </c>
      <c r="F502" s="11">
        <v>2187.7600000000002</v>
      </c>
      <c r="G502" s="12">
        <v>44991</v>
      </c>
      <c r="H502" s="12">
        <v>45554</v>
      </c>
      <c r="I502">
        <f t="shared" si="7"/>
        <v>1</v>
      </c>
    </row>
    <row r="503" spans="1:9" x14ac:dyDescent="0.3">
      <c r="A503" s="11">
        <v>36461</v>
      </c>
      <c r="B503" s="11" t="s">
        <v>21</v>
      </c>
      <c r="C503" s="11" t="s">
        <v>74</v>
      </c>
      <c r="D503" s="11">
        <v>346.4</v>
      </c>
      <c r="E503" s="11">
        <v>44</v>
      </c>
      <c r="F503" s="11">
        <v>15241.6</v>
      </c>
      <c r="G503" s="12">
        <v>45482</v>
      </c>
      <c r="H503" s="12">
        <v>45649</v>
      </c>
      <c r="I503">
        <f t="shared" si="7"/>
        <v>1</v>
      </c>
    </row>
    <row r="504" spans="1:9" x14ac:dyDescent="0.3">
      <c r="A504" s="11">
        <v>94462</v>
      </c>
      <c r="B504" s="11" t="s">
        <v>17</v>
      </c>
      <c r="C504" s="11" t="s">
        <v>34</v>
      </c>
      <c r="D504" s="11">
        <v>222.47</v>
      </c>
      <c r="E504" s="11">
        <v>19</v>
      </c>
      <c r="F504" s="11">
        <v>4226.93</v>
      </c>
      <c r="G504" s="12">
        <v>45322</v>
      </c>
      <c r="H504" s="12">
        <v>45145</v>
      </c>
      <c r="I504" t="e">
        <f t="shared" si="7"/>
        <v>#NUM!</v>
      </c>
    </row>
    <row r="505" spans="1:9" x14ac:dyDescent="0.3">
      <c r="A505" s="11">
        <v>75833</v>
      </c>
      <c r="B505" s="11" t="s">
        <v>18</v>
      </c>
      <c r="C505" s="11" t="s">
        <v>56</v>
      </c>
      <c r="D505" s="11">
        <v>641.34</v>
      </c>
      <c r="E505" s="11">
        <v>39</v>
      </c>
      <c r="F505" s="11">
        <v>25012.26</v>
      </c>
      <c r="G505" s="12">
        <v>45051</v>
      </c>
      <c r="H505" s="12">
        <v>45645</v>
      </c>
      <c r="I505">
        <f t="shared" si="7"/>
        <v>1</v>
      </c>
    </row>
    <row r="506" spans="1:9" x14ac:dyDescent="0.3">
      <c r="A506" s="11">
        <v>46503</v>
      </c>
      <c r="B506" s="11" t="s">
        <v>18</v>
      </c>
      <c r="C506" s="11" t="s">
        <v>74</v>
      </c>
      <c r="D506" s="11">
        <v>346.4</v>
      </c>
      <c r="E506" s="11">
        <v>39</v>
      </c>
      <c r="F506" s="11">
        <v>13509.6</v>
      </c>
      <c r="G506" s="12">
        <v>45136</v>
      </c>
      <c r="H506" s="12">
        <v>45243</v>
      </c>
      <c r="I506">
        <f t="shared" si="7"/>
        <v>1</v>
      </c>
    </row>
    <row r="507" spans="1:9" x14ac:dyDescent="0.3">
      <c r="A507" s="11">
        <v>63020</v>
      </c>
      <c r="B507" s="11" t="s">
        <v>23</v>
      </c>
      <c r="C507" s="11" t="s">
        <v>41</v>
      </c>
      <c r="D507" s="11">
        <v>110.41</v>
      </c>
      <c r="E507" s="11">
        <v>38</v>
      </c>
      <c r="F507" s="11">
        <v>4195.58</v>
      </c>
      <c r="G507" s="12">
        <v>45384</v>
      </c>
      <c r="H507" s="12">
        <v>45374</v>
      </c>
      <c r="I507" t="e">
        <f t="shared" si="7"/>
        <v>#NUM!</v>
      </c>
    </row>
    <row r="508" spans="1:9" x14ac:dyDescent="0.3">
      <c r="A508" s="11">
        <v>96140</v>
      </c>
      <c r="B508" s="11" t="s">
        <v>18</v>
      </c>
      <c r="C508" s="11" t="s">
        <v>42</v>
      </c>
      <c r="D508" s="11">
        <v>112.52</v>
      </c>
      <c r="E508" s="11">
        <v>8</v>
      </c>
      <c r="F508" s="11">
        <v>900.16</v>
      </c>
      <c r="G508" s="12">
        <v>45120</v>
      </c>
      <c r="H508" s="12">
        <v>45144</v>
      </c>
      <c r="I508">
        <f t="shared" si="7"/>
        <v>1</v>
      </c>
    </row>
    <row r="509" spans="1:9" x14ac:dyDescent="0.3">
      <c r="A509" s="11">
        <v>64636</v>
      </c>
      <c r="B509" s="11" t="s">
        <v>17</v>
      </c>
      <c r="C509" s="11" t="s">
        <v>68</v>
      </c>
      <c r="D509" s="11">
        <v>795.19</v>
      </c>
      <c r="E509" s="11">
        <v>12</v>
      </c>
      <c r="F509" s="11">
        <v>9542.2800000000007</v>
      </c>
      <c r="G509" s="12">
        <v>45129</v>
      </c>
      <c r="H509" s="12">
        <v>45344</v>
      </c>
      <c r="I509">
        <f t="shared" si="7"/>
        <v>1</v>
      </c>
    </row>
    <row r="510" spans="1:9" x14ac:dyDescent="0.3">
      <c r="A510" s="11">
        <v>28027</v>
      </c>
      <c r="B510" s="11" t="s">
        <v>25</v>
      </c>
      <c r="C510" s="11" t="s">
        <v>74</v>
      </c>
      <c r="D510" s="11">
        <v>346.4</v>
      </c>
      <c r="E510" s="11">
        <v>35</v>
      </c>
      <c r="F510" s="11">
        <v>12124</v>
      </c>
      <c r="G510" s="12">
        <v>45036</v>
      </c>
      <c r="H510" s="12">
        <v>45335</v>
      </c>
      <c r="I510">
        <f t="shared" si="7"/>
        <v>1</v>
      </c>
    </row>
    <row r="511" spans="1:9" x14ac:dyDescent="0.3">
      <c r="A511" s="11">
        <v>31989</v>
      </c>
      <c r="B511" s="11" t="s">
        <v>8</v>
      </c>
      <c r="C511" s="11" t="s">
        <v>58</v>
      </c>
      <c r="D511" s="11">
        <v>988.73</v>
      </c>
      <c r="E511" s="11">
        <v>5</v>
      </c>
      <c r="F511" s="11">
        <v>4943.6499999999996</v>
      </c>
      <c r="G511" s="12">
        <v>45622</v>
      </c>
      <c r="H511" s="12">
        <v>45412</v>
      </c>
      <c r="I511" t="e">
        <f t="shared" si="7"/>
        <v>#NUM!</v>
      </c>
    </row>
    <row r="512" spans="1:9" x14ac:dyDescent="0.3">
      <c r="A512" s="11">
        <v>23526</v>
      </c>
      <c r="B512" s="11" t="s">
        <v>15</v>
      </c>
      <c r="C512" s="11" t="s">
        <v>61</v>
      </c>
      <c r="D512" s="11">
        <v>705.68</v>
      </c>
      <c r="E512" s="11">
        <v>26</v>
      </c>
      <c r="F512" s="11">
        <v>18347.68</v>
      </c>
      <c r="G512" s="12">
        <v>45255</v>
      </c>
      <c r="H512" s="12">
        <v>45609</v>
      </c>
      <c r="I512">
        <f t="shared" si="7"/>
        <v>1</v>
      </c>
    </row>
    <row r="513" spans="1:9" x14ac:dyDescent="0.3">
      <c r="A513" s="11">
        <v>33463</v>
      </c>
      <c r="B513" s="11" t="s">
        <v>14</v>
      </c>
      <c r="C513" s="11" t="s">
        <v>36</v>
      </c>
      <c r="D513" s="11">
        <v>596.97</v>
      </c>
      <c r="E513" s="11">
        <v>46</v>
      </c>
      <c r="F513" s="11">
        <v>27460.62</v>
      </c>
      <c r="G513" s="12">
        <v>45126</v>
      </c>
      <c r="H513" s="12">
        <v>45450</v>
      </c>
      <c r="I513">
        <f t="shared" si="7"/>
        <v>1</v>
      </c>
    </row>
    <row r="514" spans="1:9" x14ac:dyDescent="0.3">
      <c r="A514" s="11">
        <v>83546</v>
      </c>
      <c r="B514" s="11" t="s">
        <v>24</v>
      </c>
      <c r="C514" s="11" t="s">
        <v>71</v>
      </c>
      <c r="D514" s="11">
        <v>870.6</v>
      </c>
      <c r="E514" s="11">
        <v>49</v>
      </c>
      <c r="F514" s="11">
        <v>42659.4</v>
      </c>
      <c r="G514" s="12">
        <v>45199</v>
      </c>
      <c r="H514" s="12">
        <v>45242</v>
      </c>
      <c r="I514">
        <f t="shared" si="7"/>
        <v>1</v>
      </c>
    </row>
    <row r="515" spans="1:9" x14ac:dyDescent="0.3">
      <c r="A515" s="11">
        <v>96843</v>
      </c>
      <c r="B515" s="11" t="s">
        <v>11</v>
      </c>
      <c r="C515" s="11" t="s">
        <v>52</v>
      </c>
      <c r="D515" s="11">
        <v>323.73</v>
      </c>
      <c r="E515" s="11">
        <v>24</v>
      </c>
      <c r="F515" s="11">
        <v>7769.52</v>
      </c>
      <c r="G515" s="12">
        <v>45029</v>
      </c>
      <c r="H515" s="12">
        <v>45016</v>
      </c>
      <c r="I515" t="e">
        <f t="shared" ref="I515:I578" si="8">IF(DATEDIF(G515,H515,"d") &gt; 15,1,0)</f>
        <v>#NUM!</v>
      </c>
    </row>
    <row r="516" spans="1:9" x14ac:dyDescent="0.3">
      <c r="A516" s="11">
        <v>71926</v>
      </c>
      <c r="B516" s="11" t="s">
        <v>12</v>
      </c>
      <c r="C516" s="11" t="s">
        <v>77</v>
      </c>
      <c r="D516" s="11">
        <v>761.92</v>
      </c>
      <c r="E516" s="11">
        <v>31</v>
      </c>
      <c r="F516" s="11">
        <v>23619.52</v>
      </c>
      <c r="G516" s="12">
        <v>45251</v>
      </c>
      <c r="H516" s="12">
        <v>45258</v>
      </c>
      <c r="I516">
        <f t="shared" si="8"/>
        <v>0</v>
      </c>
    </row>
    <row r="517" spans="1:9" x14ac:dyDescent="0.3">
      <c r="A517" s="11">
        <v>67458</v>
      </c>
      <c r="B517" s="11" t="s">
        <v>15</v>
      </c>
      <c r="C517" s="11" t="s">
        <v>34</v>
      </c>
      <c r="D517" s="11">
        <v>222.47</v>
      </c>
      <c r="E517" s="11">
        <v>12</v>
      </c>
      <c r="F517" s="11">
        <v>2669.64</v>
      </c>
      <c r="G517" s="12">
        <v>45282</v>
      </c>
      <c r="H517" s="12">
        <v>45059</v>
      </c>
      <c r="I517" t="e">
        <f t="shared" si="8"/>
        <v>#NUM!</v>
      </c>
    </row>
    <row r="518" spans="1:9" x14ac:dyDescent="0.3">
      <c r="A518" s="11">
        <v>51883</v>
      </c>
      <c r="B518" s="11" t="s">
        <v>15</v>
      </c>
      <c r="C518" s="11" t="s">
        <v>71</v>
      </c>
      <c r="D518" s="11">
        <v>870.6</v>
      </c>
      <c r="E518" s="11">
        <v>3</v>
      </c>
      <c r="F518" s="11">
        <v>2611.8000000000002</v>
      </c>
      <c r="G518" s="12">
        <v>45631</v>
      </c>
      <c r="H518" s="12">
        <v>45042</v>
      </c>
      <c r="I518" t="e">
        <f t="shared" si="8"/>
        <v>#NUM!</v>
      </c>
    </row>
    <row r="519" spans="1:9" x14ac:dyDescent="0.3">
      <c r="A519" s="11">
        <v>62870</v>
      </c>
      <c r="B519" s="11" t="s">
        <v>15</v>
      </c>
      <c r="C519" s="11" t="s">
        <v>31</v>
      </c>
      <c r="D519" s="11">
        <v>449.74</v>
      </c>
      <c r="E519" s="11">
        <v>43</v>
      </c>
      <c r="F519" s="11">
        <v>19338.82</v>
      </c>
      <c r="G519" s="12">
        <v>45506</v>
      </c>
      <c r="H519" s="12">
        <v>45498</v>
      </c>
      <c r="I519" t="e">
        <f t="shared" si="8"/>
        <v>#NUM!</v>
      </c>
    </row>
    <row r="520" spans="1:9" x14ac:dyDescent="0.3">
      <c r="A520" s="11">
        <v>78806</v>
      </c>
      <c r="B520" s="11" t="s">
        <v>16</v>
      </c>
      <c r="C520" s="11" t="s">
        <v>75</v>
      </c>
      <c r="D520" s="11">
        <v>325</v>
      </c>
      <c r="E520" s="11">
        <v>19</v>
      </c>
      <c r="F520" s="11">
        <v>6175</v>
      </c>
      <c r="G520" s="12">
        <v>45478</v>
      </c>
      <c r="H520" s="12">
        <v>45304</v>
      </c>
      <c r="I520" t="e">
        <f t="shared" si="8"/>
        <v>#NUM!</v>
      </c>
    </row>
    <row r="521" spans="1:9" x14ac:dyDescent="0.3">
      <c r="A521" s="11">
        <v>99307</v>
      </c>
      <c r="B521" s="11" t="s">
        <v>24</v>
      </c>
      <c r="C521" s="11" t="s">
        <v>51</v>
      </c>
      <c r="D521" s="11">
        <v>533.15</v>
      </c>
      <c r="E521" s="11">
        <v>19</v>
      </c>
      <c r="F521" s="11">
        <v>10129.85</v>
      </c>
      <c r="G521" s="12">
        <v>45278</v>
      </c>
      <c r="H521" s="12">
        <v>45052</v>
      </c>
      <c r="I521" t="e">
        <f t="shared" si="8"/>
        <v>#NUM!</v>
      </c>
    </row>
    <row r="522" spans="1:9" x14ac:dyDescent="0.3">
      <c r="A522" s="11">
        <v>21577</v>
      </c>
      <c r="B522" s="11" t="s">
        <v>17</v>
      </c>
      <c r="C522" s="11" t="s">
        <v>62</v>
      </c>
      <c r="D522" s="11">
        <v>474.55</v>
      </c>
      <c r="E522" s="11">
        <v>25</v>
      </c>
      <c r="F522" s="11">
        <v>11863.75</v>
      </c>
      <c r="G522" s="12">
        <v>45005</v>
      </c>
      <c r="H522" s="12">
        <v>45039</v>
      </c>
      <c r="I522">
        <f t="shared" si="8"/>
        <v>1</v>
      </c>
    </row>
    <row r="523" spans="1:9" x14ac:dyDescent="0.3">
      <c r="A523" s="11">
        <v>71922</v>
      </c>
      <c r="B523" s="11" t="s">
        <v>22</v>
      </c>
      <c r="C523" s="11" t="s">
        <v>68</v>
      </c>
      <c r="D523" s="11">
        <v>795.19</v>
      </c>
      <c r="E523" s="11">
        <v>1</v>
      </c>
      <c r="F523" s="11">
        <v>795.19</v>
      </c>
      <c r="G523" s="12">
        <v>44969</v>
      </c>
      <c r="H523" s="12">
        <v>45293</v>
      </c>
      <c r="I523">
        <f t="shared" si="8"/>
        <v>1</v>
      </c>
    </row>
    <row r="524" spans="1:9" x14ac:dyDescent="0.3">
      <c r="A524" s="11">
        <v>10449</v>
      </c>
      <c r="B524" s="11" t="s">
        <v>25</v>
      </c>
      <c r="C524" s="11" t="s">
        <v>49</v>
      </c>
      <c r="D524" s="11">
        <v>534.77</v>
      </c>
      <c r="E524" s="11">
        <v>25</v>
      </c>
      <c r="F524" s="11">
        <v>13369.25</v>
      </c>
      <c r="G524" s="12">
        <v>45517</v>
      </c>
      <c r="H524" s="12">
        <v>45093</v>
      </c>
      <c r="I524" t="e">
        <f t="shared" si="8"/>
        <v>#NUM!</v>
      </c>
    </row>
    <row r="525" spans="1:9" x14ac:dyDescent="0.3">
      <c r="A525" s="11">
        <v>78598</v>
      </c>
      <c r="B525" s="11" t="s">
        <v>9</v>
      </c>
      <c r="C525" s="11" t="s">
        <v>43</v>
      </c>
      <c r="D525" s="11">
        <v>608.37</v>
      </c>
      <c r="E525" s="11">
        <v>49</v>
      </c>
      <c r="F525" s="11">
        <v>29810.13</v>
      </c>
      <c r="G525" s="12">
        <v>45139</v>
      </c>
      <c r="H525" s="12">
        <v>45301</v>
      </c>
      <c r="I525">
        <f t="shared" si="8"/>
        <v>1</v>
      </c>
    </row>
    <row r="526" spans="1:9" x14ac:dyDescent="0.3">
      <c r="A526" s="11">
        <v>18228</v>
      </c>
      <c r="B526" s="11" t="s">
        <v>26</v>
      </c>
      <c r="C526" s="11" t="s">
        <v>33</v>
      </c>
      <c r="D526" s="11">
        <v>622.16</v>
      </c>
      <c r="E526" s="11">
        <v>10</v>
      </c>
      <c r="F526" s="11">
        <v>6221.6</v>
      </c>
      <c r="G526" s="12">
        <v>45464</v>
      </c>
      <c r="H526" s="12">
        <v>45482</v>
      </c>
      <c r="I526">
        <f t="shared" si="8"/>
        <v>1</v>
      </c>
    </row>
    <row r="527" spans="1:9" x14ac:dyDescent="0.3">
      <c r="A527" s="11">
        <v>20968</v>
      </c>
      <c r="B527" s="11" t="s">
        <v>9</v>
      </c>
      <c r="C527" s="11" t="s">
        <v>50</v>
      </c>
      <c r="D527" s="11">
        <v>468.95</v>
      </c>
      <c r="E527" s="11">
        <v>36</v>
      </c>
      <c r="F527" s="11">
        <v>16882.2</v>
      </c>
      <c r="G527" s="12">
        <v>45006</v>
      </c>
      <c r="H527" s="12">
        <v>45017</v>
      </c>
      <c r="I527">
        <f t="shared" si="8"/>
        <v>0</v>
      </c>
    </row>
    <row r="528" spans="1:9" x14ac:dyDescent="0.3">
      <c r="A528" s="11">
        <v>32933</v>
      </c>
      <c r="B528" s="11" t="s">
        <v>22</v>
      </c>
      <c r="C528" s="11" t="s">
        <v>38</v>
      </c>
      <c r="D528" s="11">
        <v>233.83</v>
      </c>
      <c r="E528" s="11">
        <v>16</v>
      </c>
      <c r="F528" s="11">
        <v>3741.28</v>
      </c>
      <c r="G528" s="12">
        <v>45123</v>
      </c>
      <c r="H528" s="12">
        <v>45611</v>
      </c>
      <c r="I528">
        <f t="shared" si="8"/>
        <v>1</v>
      </c>
    </row>
    <row r="529" spans="1:9" x14ac:dyDescent="0.3">
      <c r="A529" s="11">
        <v>80420</v>
      </c>
      <c r="B529" s="11" t="s">
        <v>9</v>
      </c>
      <c r="C529" s="11" t="s">
        <v>57</v>
      </c>
      <c r="D529" s="11">
        <v>404.9</v>
      </c>
      <c r="E529" s="11">
        <v>32</v>
      </c>
      <c r="F529" s="11">
        <v>12956.8</v>
      </c>
      <c r="G529" s="12">
        <v>45513</v>
      </c>
      <c r="H529" s="12">
        <v>45319</v>
      </c>
      <c r="I529" t="e">
        <f t="shared" si="8"/>
        <v>#NUM!</v>
      </c>
    </row>
    <row r="530" spans="1:9" x14ac:dyDescent="0.3">
      <c r="A530" s="11">
        <v>98149</v>
      </c>
      <c r="B530" s="11" t="s">
        <v>12</v>
      </c>
      <c r="C530" s="11" t="s">
        <v>48</v>
      </c>
      <c r="D530" s="11">
        <v>93.68</v>
      </c>
      <c r="E530" s="11">
        <v>41</v>
      </c>
      <c r="F530" s="11">
        <v>3840.88</v>
      </c>
      <c r="G530" s="12">
        <v>45439</v>
      </c>
      <c r="H530" s="12">
        <v>45471</v>
      </c>
      <c r="I530">
        <f t="shared" si="8"/>
        <v>1</v>
      </c>
    </row>
    <row r="531" spans="1:9" x14ac:dyDescent="0.3">
      <c r="A531" s="11">
        <v>74914</v>
      </c>
      <c r="B531" s="11" t="s">
        <v>11</v>
      </c>
      <c r="C531" s="11" t="s">
        <v>54</v>
      </c>
      <c r="D531" s="11">
        <v>730.09</v>
      </c>
      <c r="E531" s="11">
        <v>34</v>
      </c>
      <c r="F531" s="11">
        <v>24823.06</v>
      </c>
      <c r="G531" s="12">
        <v>45050</v>
      </c>
      <c r="H531" s="12">
        <v>45443</v>
      </c>
      <c r="I531">
        <f t="shared" si="8"/>
        <v>1</v>
      </c>
    </row>
    <row r="532" spans="1:9" x14ac:dyDescent="0.3">
      <c r="A532" s="11">
        <v>68140</v>
      </c>
      <c r="B532" s="11" t="s">
        <v>17</v>
      </c>
      <c r="C532" s="11" t="s">
        <v>69</v>
      </c>
      <c r="D532" s="11">
        <v>158.66999999999999</v>
      </c>
      <c r="E532" s="11">
        <v>34</v>
      </c>
      <c r="F532" s="11">
        <v>5394.78</v>
      </c>
      <c r="G532" s="12">
        <v>45083</v>
      </c>
      <c r="H532" s="12">
        <v>45196</v>
      </c>
      <c r="I532">
        <f t="shared" si="8"/>
        <v>1</v>
      </c>
    </row>
    <row r="533" spans="1:9" x14ac:dyDescent="0.3">
      <c r="A533" s="11">
        <v>62151</v>
      </c>
      <c r="B533" s="11" t="s">
        <v>20</v>
      </c>
      <c r="C533" s="11" t="s">
        <v>55</v>
      </c>
      <c r="D533" s="11">
        <v>399.32</v>
      </c>
      <c r="E533" s="11">
        <v>48</v>
      </c>
      <c r="F533" s="11">
        <v>19167.36</v>
      </c>
      <c r="G533" s="12">
        <v>45052</v>
      </c>
      <c r="H533" s="12">
        <v>45160</v>
      </c>
      <c r="I533">
        <f t="shared" si="8"/>
        <v>1</v>
      </c>
    </row>
    <row r="534" spans="1:9" x14ac:dyDescent="0.3">
      <c r="A534" s="11">
        <v>35961</v>
      </c>
      <c r="B534" s="11" t="s">
        <v>16</v>
      </c>
      <c r="C534" s="11" t="s">
        <v>46</v>
      </c>
      <c r="D534" s="11">
        <v>617.33000000000004</v>
      </c>
      <c r="E534" s="11">
        <v>22</v>
      </c>
      <c r="F534" s="11">
        <v>13581.26</v>
      </c>
      <c r="G534" s="12">
        <v>45097</v>
      </c>
      <c r="H534" s="12">
        <v>45271</v>
      </c>
      <c r="I534">
        <f t="shared" si="8"/>
        <v>1</v>
      </c>
    </row>
    <row r="535" spans="1:9" x14ac:dyDescent="0.3">
      <c r="A535" s="11">
        <v>35469</v>
      </c>
      <c r="B535" s="11" t="s">
        <v>9</v>
      </c>
      <c r="C535" s="11" t="s">
        <v>62</v>
      </c>
      <c r="D535" s="11">
        <v>474.55</v>
      </c>
      <c r="E535" s="11">
        <v>23</v>
      </c>
      <c r="F535" s="11">
        <v>10914.65</v>
      </c>
      <c r="G535" s="12">
        <v>44970</v>
      </c>
      <c r="H535" s="12">
        <v>45579</v>
      </c>
      <c r="I535">
        <f t="shared" si="8"/>
        <v>1</v>
      </c>
    </row>
    <row r="536" spans="1:9" x14ac:dyDescent="0.3">
      <c r="A536" s="11">
        <v>65088</v>
      </c>
      <c r="B536" s="11" t="s">
        <v>13</v>
      </c>
      <c r="C536" s="11" t="s">
        <v>74</v>
      </c>
      <c r="D536" s="11">
        <v>346.4</v>
      </c>
      <c r="E536" s="11">
        <v>40</v>
      </c>
      <c r="F536" s="11">
        <v>13856</v>
      </c>
      <c r="G536" s="12">
        <v>44996</v>
      </c>
      <c r="H536" s="12">
        <v>45333</v>
      </c>
      <c r="I536">
        <f t="shared" si="8"/>
        <v>1</v>
      </c>
    </row>
    <row r="537" spans="1:9" x14ac:dyDescent="0.3">
      <c r="A537" s="11">
        <v>51864</v>
      </c>
      <c r="B537" s="11" t="s">
        <v>17</v>
      </c>
      <c r="C537" s="11" t="s">
        <v>57</v>
      </c>
      <c r="D537" s="11">
        <v>404.9</v>
      </c>
      <c r="E537" s="11">
        <v>17</v>
      </c>
      <c r="F537" s="11">
        <v>6883.3</v>
      </c>
      <c r="G537" s="12">
        <v>45571</v>
      </c>
      <c r="H537" s="12">
        <v>45447</v>
      </c>
      <c r="I537" t="e">
        <f t="shared" si="8"/>
        <v>#NUM!</v>
      </c>
    </row>
    <row r="538" spans="1:9" x14ac:dyDescent="0.3">
      <c r="A538" s="11">
        <v>16875</v>
      </c>
      <c r="B538" s="11" t="s">
        <v>8</v>
      </c>
      <c r="C538" s="11" t="s">
        <v>75</v>
      </c>
      <c r="D538" s="11">
        <v>325</v>
      </c>
      <c r="E538" s="11">
        <v>22</v>
      </c>
      <c r="F538" s="11">
        <v>7150</v>
      </c>
      <c r="G538" s="12">
        <v>45238</v>
      </c>
      <c r="H538" s="12">
        <v>45348</v>
      </c>
      <c r="I538">
        <f t="shared" si="8"/>
        <v>1</v>
      </c>
    </row>
    <row r="539" spans="1:9" x14ac:dyDescent="0.3">
      <c r="A539" s="11">
        <v>17309</v>
      </c>
      <c r="B539" s="11" t="s">
        <v>26</v>
      </c>
      <c r="C539" s="11" t="s">
        <v>32</v>
      </c>
      <c r="D539" s="11">
        <v>546.64</v>
      </c>
      <c r="E539" s="11">
        <v>35</v>
      </c>
      <c r="F539" s="11">
        <v>19132.400000000001</v>
      </c>
      <c r="G539" s="12">
        <v>45422</v>
      </c>
      <c r="H539" s="12">
        <v>45189</v>
      </c>
      <c r="I539" t="e">
        <f t="shared" si="8"/>
        <v>#NUM!</v>
      </c>
    </row>
    <row r="540" spans="1:9" x14ac:dyDescent="0.3">
      <c r="A540" s="11">
        <v>14625</v>
      </c>
      <c r="B540" s="11" t="s">
        <v>10</v>
      </c>
      <c r="C540" s="11" t="s">
        <v>34</v>
      </c>
      <c r="D540" s="11">
        <v>222.47</v>
      </c>
      <c r="E540" s="11">
        <v>44</v>
      </c>
      <c r="F540" s="11">
        <v>9788.68</v>
      </c>
      <c r="G540" s="12">
        <v>45281</v>
      </c>
      <c r="H540" s="12">
        <v>45132</v>
      </c>
      <c r="I540" t="e">
        <f t="shared" si="8"/>
        <v>#NUM!</v>
      </c>
    </row>
    <row r="541" spans="1:9" x14ac:dyDescent="0.3">
      <c r="A541" s="11">
        <v>58892</v>
      </c>
      <c r="B541" s="11" t="s">
        <v>25</v>
      </c>
      <c r="C541" s="11" t="s">
        <v>76</v>
      </c>
      <c r="D541" s="11">
        <v>95.12</v>
      </c>
      <c r="E541" s="11">
        <v>39</v>
      </c>
      <c r="F541" s="11">
        <v>3709.68</v>
      </c>
      <c r="G541" s="12">
        <v>44951</v>
      </c>
      <c r="H541" s="12">
        <v>45090</v>
      </c>
      <c r="I541">
        <f t="shared" si="8"/>
        <v>1</v>
      </c>
    </row>
    <row r="542" spans="1:9" x14ac:dyDescent="0.3">
      <c r="A542" s="11">
        <v>18780</v>
      </c>
      <c r="B542" s="11" t="s">
        <v>24</v>
      </c>
      <c r="C542" s="11" t="s">
        <v>43</v>
      </c>
      <c r="D542" s="11">
        <v>608.37</v>
      </c>
      <c r="E542" s="11">
        <v>50</v>
      </c>
      <c r="F542" s="11">
        <v>30418.5</v>
      </c>
      <c r="G542" s="12">
        <v>45513</v>
      </c>
      <c r="H542" s="12">
        <v>45429</v>
      </c>
      <c r="I542" t="e">
        <f t="shared" si="8"/>
        <v>#NUM!</v>
      </c>
    </row>
    <row r="543" spans="1:9" x14ac:dyDescent="0.3">
      <c r="A543" s="11">
        <v>97035</v>
      </c>
      <c r="B543" s="11" t="s">
        <v>9</v>
      </c>
      <c r="C543" s="11" t="s">
        <v>59</v>
      </c>
      <c r="D543" s="11">
        <v>346.37</v>
      </c>
      <c r="E543" s="11">
        <v>13</v>
      </c>
      <c r="F543" s="11">
        <v>4502.8100000000004</v>
      </c>
      <c r="G543" s="12">
        <v>45242</v>
      </c>
      <c r="H543" s="12">
        <v>45450</v>
      </c>
      <c r="I543">
        <f t="shared" si="8"/>
        <v>1</v>
      </c>
    </row>
    <row r="544" spans="1:9" x14ac:dyDescent="0.3">
      <c r="A544" s="11">
        <v>22654</v>
      </c>
      <c r="B544" s="11" t="s">
        <v>10</v>
      </c>
      <c r="C544" s="11" t="s">
        <v>33</v>
      </c>
      <c r="D544" s="11">
        <v>622.16</v>
      </c>
      <c r="E544" s="11">
        <v>6</v>
      </c>
      <c r="F544" s="11">
        <v>3732.96</v>
      </c>
      <c r="G544" s="12">
        <v>45255</v>
      </c>
      <c r="H544" s="12">
        <v>45598</v>
      </c>
      <c r="I544">
        <f t="shared" si="8"/>
        <v>1</v>
      </c>
    </row>
    <row r="545" spans="1:9" x14ac:dyDescent="0.3">
      <c r="A545" s="11">
        <v>65309</v>
      </c>
      <c r="B545" s="11" t="s">
        <v>8</v>
      </c>
      <c r="C545" s="11" t="s">
        <v>74</v>
      </c>
      <c r="D545" s="11">
        <v>346.4</v>
      </c>
      <c r="E545" s="11">
        <v>43</v>
      </c>
      <c r="F545" s="11">
        <v>14895.2</v>
      </c>
      <c r="G545" s="12">
        <v>45588</v>
      </c>
      <c r="H545" s="12">
        <v>45180</v>
      </c>
      <c r="I545" t="e">
        <f t="shared" si="8"/>
        <v>#NUM!</v>
      </c>
    </row>
    <row r="546" spans="1:9" x14ac:dyDescent="0.3">
      <c r="A546" s="11">
        <v>69121</v>
      </c>
      <c r="B546" s="11" t="s">
        <v>21</v>
      </c>
      <c r="C546" s="11" t="s">
        <v>31</v>
      </c>
      <c r="D546" s="11">
        <v>449.74</v>
      </c>
      <c r="E546" s="11">
        <v>4</v>
      </c>
      <c r="F546" s="11">
        <v>1798.96</v>
      </c>
      <c r="G546" s="12">
        <v>45317</v>
      </c>
      <c r="H546" s="12">
        <v>45236</v>
      </c>
      <c r="I546" t="e">
        <f t="shared" si="8"/>
        <v>#NUM!</v>
      </c>
    </row>
    <row r="547" spans="1:9" x14ac:dyDescent="0.3">
      <c r="A547" s="11">
        <v>73078</v>
      </c>
      <c r="B547" s="11" t="s">
        <v>21</v>
      </c>
      <c r="C547" s="11" t="s">
        <v>75</v>
      </c>
      <c r="D547" s="11">
        <v>325</v>
      </c>
      <c r="E547" s="11">
        <v>17</v>
      </c>
      <c r="F547" s="11">
        <v>5525</v>
      </c>
      <c r="G547" s="12">
        <v>45101</v>
      </c>
      <c r="H547" s="12">
        <v>45491</v>
      </c>
      <c r="I547">
        <f t="shared" si="8"/>
        <v>1</v>
      </c>
    </row>
    <row r="548" spans="1:9" x14ac:dyDescent="0.3">
      <c r="A548" s="11">
        <v>74790</v>
      </c>
      <c r="B548" s="11" t="s">
        <v>27</v>
      </c>
      <c r="C548" s="11" t="s">
        <v>46</v>
      </c>
      <c r="D548" s="11">
        <v>617.33000000000004</v>
      </c>
      <c r="E548" s="11">
        <v>35</v>
      </c>
      <c r="F548" s="11">
        <v>21606.55</v>
      </c>
      <c r="G548" s="12">
        <v>45101</v>
      </c>
      <c r="H548" s="12">
        <v>45135</v>
      </c>
      <c r="I548">
        <f t="shared" si="8"/>
        <v>1</v>
      </c>
    </row>
    <row r="549" spans="1:9" x14ac:dyDescent="0.3">
      <c r="A549" s="11">
        <v>62853</v>
      </c>
      <c r="B549" s="11" t="s">
        <v>9</v>
      </c>
      <c r="C549" s="11" t="s">
        <v>45</v>
      </c>
      <c r="D549" s="11">
        <v>366.3</v>
      </c>
      <c r="E549" s="11">
        <v>49</v>
      </c>
      <c r="F549" s="11">
        <v>17948.7</v>
      </c>
      <c r="G549" s="12">
        <v>45514</v>
      </c>
      <c r="H549" s="12">
        <v>45050</v>
      </c>
      <c r="I549" t="e">
        <f t="shared" si="8"/>
        <v>#NUM!</v>
      </c>
    </row>
    <row r="550" spans="1:9" x14ac:dyDescent="0.3">
      <c r="A550" s="11">
        <v>51956</v>
      </c>
      <c r="B550" s="11" t="s">
        <v>13</v>
      </c>
      <c r="C550" s="11" t="s">
        <v>44</v>
      </c>
      <c r="D550" s="11">
        <v>654.4</v>
      </c>
      <c r="E550" s="11">
        <v>37</v>
      </c>
      <c r="F550" s="11">
        <v>24212.799999999999</v>
      </c>
      <c r="G550" s="12">
        <v>45408</v>
      </c>
      <c r="H550" s="12">
        <v>45135</v>
      </c>
      <c r="I550" t="e">
        <f t="shared" si="8"/>
        <v>#NUM!</v>
      </c>
    </row>
    <row r="551" spans="1:9" x14ac:dyDescent="0.3">
      <c r="A551" s="11">
        <v>98342</v>
      </c>
      <c r="B551" s="11" t="s">
        <v>13</v>
      </c>
      <c r="C551" s="11" t="s">
        <v>58</v>
      </c>
      <c r="D551" s="11">
        <v>988.73</v>
      </c>
      <c r="E551" s="11">
        <v>39</v>
      </c>
      <c r="F551" s="11">
        <v>38560.47</v>
      </c>
      <c r="G551" s="12">
        <v>45199</v>
      </c>
      <c r="H551" s="12">
        <v>45289</v>
      </c>
      <c r="I551">
        <f t="shared" si="8"/>
        <v>1</v>
      </c>
    </row>
    <row r="552" spans="1:9" x14ac:dyDescent="0.3">
      <c r="A552" s="11">
        <v>36409</v>
      </c>
      <c r="B552" s="11" t="s">
        <v>27</v>
      </c>
      <c r="C552" s="11" t="s">
        <v>51</v>
      </c>
      <c r="D552" s="11">
        <v>533.15</v>
      </c>
      <c r="E552" s="11">
        <v>12</v>
      </c>
      <c r="F552" s="11">
        <v>6397.8</v>
      </c>
      <c r="G552" s="12">
        <v>45615</v>
      </c>
      <c r="H552" s="12">
        <v>45276</v>
      </c>
      <c r="I552" t="e">
        <f t="shared" si="8"/>
        <v>#NUM!</v>
      </c>
    </row>
    <row r="553" spans="1:9" x14ac:dyDescent="0.3">
      <c r="A553" s="11">
        <v>49913</v>
      </c>
      <c r="B553" s="11" t="s">
        <v>13</v>
      </c>
      <c r="C553" s="11" t="s">
        <v>43</v>
      </c>
      <c r="D553" s="11">
        <v>608.37</v>
      </c>
      <c r="E553" s="11">
        <v>18</v>
      </c>
      <c r="F553" s="11">
        <v>10950.66</v>
      </c>
      <c r="G553" s="12">
        <v>45374</v>
      </c>
      <c r="H553" s="12">
        <v>45044</v>
      </c>
      <c r="I553" t="e">
        <f t="shared" si="8"/>
        <v>#NUM!</v>
      </c>
    </row>
    <row r="554" spans="1:9" x14ac:dyDescent="0.3">
      <c r="A554" s="11">
        <v>77108</v>
      </c>
      <c r="B554" s="11" t="s">
        <v>20</v>
      </c>
      <c r="C554" s="11" t="s">
        <v>59</v>
      </c>
      <c r="D554" s="11">
        <v>346.37</v>
      </c>
      <c r="E554" s="11">
        <v>12</v>
      </c>
      <c r="F554" s="11">
        <v>4156.4399999999996</v>
      </c>
      <c r="G554" s="12">
        <v>45439</v>
      </c>
      <c r="H554" s="12">
        <v>45109</v>
      </c>
      <c r="I554" t="e">
        <f t="shared" si="8"/>
        <v>#NUM!</v>
      </c>
    </row>
    <row r="555" spans="1:9" x14ac:dyDescent="0.3">
      <c r="A555" s="11">
        <v>24518</v>
      </c>
      <c r="B555" s="11" t="s">
        <v>13</v>
      </c>
      <c r="C555" s="11" t="s">
        <v>67</v>
      </c>
      <c r="D555" s="11">
        <v>402.36</v>
      </c>
      <c r="E555" s="11">
        <v>1</v>
      </c>
      <c r="F555" s="11">
        <v>402.36</v>
      </c>
      <c r="G555" s="12">
        <v>45349</v>
      </c>
      <c r="H555" s="12">
        <v>45618</v>
      </c>
      <c r="I555">
        <f t="shared" si="8"/>
        <v>1</v>
      </c>
    </row>
    <row r="556" spans="1:9" x14ac:dyDescent="0.3">
      <c r="A556" s="11">
        <v>10648</v>
      </c>
      <c r="B556" s="11" t="s">
        <v>8</v>
      </c>
      <c r="C556" s="11" t="s">
        <v>66</v>
      </c>
      <c r="D556" s="11">
        <v>45.72</v>
      </c>
      <c r="E556" s="11">
        <v>45</v>
      </c>
      <c r="F556" s="11">
        <v>2057.4</v>
      </c>
      <c r="G556" s="12">
        <v>45355</v>
      </c>
      <c r="H556" s="12">
        <v>45172</v>
      </c>
      <c r="I556" t="e">
        <f t="shared" si="8"/>
        <v>#NUM!</v>
      </c>
    </row>
    <row r="557" spans="1:9" x14ac:dyDescent="0.3">
      <c r="A557" s="11">
        <v>98637</v>
      </c>
      <c r="B557" s="11" t="s">
        <v>8</v>
      </c>
      <c r="C557" s="11" t="s">
        <v>71</v>
      </c>
      <c r="D557" s="11">
        <v>870.6</v>
      </c>
      <c r="E557" s="11">
        <v>23</v>
      </c>
      <c r="F557" s="11">
        <v>20023.8</v>
      </c>
      <c r="G557" s="12">
        <v>45256</v>
      </c>
      <c r="H557" s="12">
        <v>45359</v>
      </c>
      <c r="I557">
        <f t="shared" si="8"/>
        <v>1</v>
      </c>
    </row>
    <row r="558" spans="1:9" x14ac:dyDescent="0.3">
      <c r="A558" s="11">
        <v>24376</v>
      </c>
      <c r="B558" s="11" t="s">
        <v>18</v>
      </c>
      <c r="C558" s="11" t="s">
        <v>33</v>
      </c>
      <c r="D558" s="11">
        <v>622.16</v>
      </c>
      <c r="E558" s="11">
        <v>7</v>
      </c>
      <c r="F558" s="11">
        <v>4355.12</v>
      </c>
      <c r="G558" s="12">
        <v>45048</v>
      </c>
      <c r="H558" s="12">
        <v>45222</v>
      </c>
      <c r="I558">
        <f t="shared" si="8"/>
        <v>1</v>
      </c>
    </row>
    <row r="559" spans="1:9" x14ac:dyDescent="0.3">
      <c r="A559" s="11">
        <v>13757</v>
      </c>
      <c r="B559" s="11" t="s">
        <v>27</v>
      </c>
      <c r="C559" s="11" t="s">
        <v>36</v>
      </c>
      <c r="D559" s="11">
        <v>596.97</v>
      </c>
      <c r="E559" s="11">
        <v>35</v>
      </c>
      <c r="F559" s="11">
        <v>20893.95</v>
      </c>
      <c r="G559" s="12">
        <v>45029</v>
      </c>
      <c r="H559" s="12">
        <v>45470</v>
      </c>
      <c r="I559">
        <f t="shared" si="8"/>
        <v>1</v>
      </c>
    </row>
    <row r="560" spans="1:9" x14ac:dyDescent="0.3">
      <c r="A560" s="11">
        <v>11699</v>
      </c>
      <c r="B560" s="11" t="s">
        <v>16</v>
      </c>
      <c r="C560" s="11" t="s">
        <v>51</v>
      </c>
      <c r="D560" s="11">
        <v>533.15</v>
      </c>
      <c r="E560" s="11">
        <v>21</v>
      </c>
      <c r="F560" s="11">
        <v>11196.15</v>
      </c>
      <c r="G560" s="12">
        <v>45131</v>
      </c>
      <c r="H560" s="12">
        <v>45203</v>
      </c>
      <c r="I560">
        <f t="shared" si="8"/>
        <v>1</v>
      </c>
    </row>
    <row r="561" spans="1:9" x14ac:dyDescent="0.3">
      <c r="A561" s="11">
        <v>16451</v>
      </c>
      <c r="B561" s="11" t="s">
        <v>16</v>
      </c>
      <c r="C561" s="11" t="s">
        <v>39</v>
      </c>
      <c r="D561" s="11">
        <v>988.47</v>
      </c>
      <c r="E561" s="11">
        <v>16</v>
      </c>
      <c r="F561" s="11">
        <v>15815.52</v>
      </c>
      <c r="G561" s="12">
        <v>45115</v>
      </c>
      <c r="H561" s="12">
        <v>45330</v>
      </c>
      <c r="I561">
        <f t="shared" si="8"/>
        <v>1</v>
      </c>
    </row>
    <row r="562" spans="1:9" x14ac:dyDescent="0.3">
      <c r="A562" s="11">
        <v>76599</v>
      </c>
      <c r="B562" s="11" t="s">
        <v>23</v>
      </c>
      <c r="C562" s="11" t="s">
        <v>55</v>
      </c>
      <c r="D562" s="11">
        <v>399.32</v>
      </c>
      <c r="E562" s="11">
        <v>32</v>
      </c>
      <c r="F562" s="11">
        <v>12778.24</v>
      </c>
      <c r="G562" s="12">
        <v>45659</v>
      </c>
      <c r="H562" s="12">
        <v>45170</v>
      </c>
      <c r="I562" t="e">
        <f t="shared" si="8"/>
        <v>#NUM!</v>
      </c>
    </row>
    <row r="563" spans="1:9" x14ac:dyDescent="0.3">
      <c r="A563" s="11">
        <v>79233</v>
      </c>
      <c r="B563" s="11" t="s">
        <v>16</v>
      </c>
      <c r="C563" s="11" t="s">
        <v>31</v>
      </c>
      <c r="D563" s="11">
        <v>449.74</v>
      </c>
      <c r="E563" s="11">
        <v>4</v>
      </c>
      <c r="F563" s="11">
        <v>1798.96</v>
      </c>
      <c r="G563" s="12">
        <v>45213</v>
      </c>
      <c r="H563" s="12">
        <v>45533</v>
      </c>
      <c r="I563">
        <f t="shared" si="8"/>
        <v>1</v>
      </c>
    </row>
    <row r="564" spans="1:9" x14ac:dyDescent="0.3">
      <c r="A564" s="11">
        <v>63000</v>
      </c>
      <c r="B564" s="11" t="s">
        <v>9</v>
      </c>
      <c r="C564" s="11" t="s">
        <v>41</v>
      </c>
      <c r="D564" s="11">
        <v>110.41</v>
      </c>
      <c r="E564" s="11">
        <v>42</v>
      </c>
      <c r="F564" s="11">
        <v>4637.22</v>
      </c>
      <c r="G564" s="12">
        <v>45669</v>
      </c>
      <c r="H564" s="12">
        <v>45204</v>
      </c>
      <c r="I564" t="e">
        <f t="shared" si="8"/>
        <v>#NUM!</v>
      </c>
    </row>
    <row r="565" spans="1:9" x14ac:dyDescent="0.3">
      <c r="A565" s="11">
        <v>88691</v>
      </c>
      <c r="B565" s="11" t="s">
        <v>27</v>
      </c>
      <c r="C565" s="11" t="s">
        <v>45</v>
      </c>
      <c r="D565" s="11">
        <v>366.3</v>
      </c>
      <c r="E565" s="11">
        <v>1</v>
      </c>
      <c r="F565" s="11">
        <v>366.3</v>
      </c>
      <c r="G565" s="12">
        <v>45666</v>
      </c>
      <c r="H565" s="12">
        <v>45336</v>
      </c>
      <c r="I565" t="e">
        <f t="shared" si="8"/>
        <v>#NUM!</v>
      </c>
    </row>
    <row r="566" spans="1:9" x14ac:dyDescent="0.3">
      <c r="A566" s="11">
        <v>41989</v>
      </c>
      <c r="B566" s="11" t="s">
        <v>26</v>
      </c>
      <c r="C566" s="11" t="s">
        <v>69</v>
      </c>
      <c r="D566" s="11">
        <v>158.66999999999999</v>
      </c>
      <c r="E566" s="11">
        <v>2</v>
      </c>
      <c r="F566" s="11">
        <v>317.33999999999997</v>
      </c>
      <c r="G566" s="12">
        <v>45277</v>
      </c>
      <c r="H566" s="12">
        <v>45408</v>
      </c>
      <c r="I566">
        <f t="shared" si="8"/>
        <v>1</v>
      </c>
    </row>
    <row r="567" spans="1:9" x14ac:dyDescent="0.3">
      <c r="A567" s="11">
        <v>12483</v>
      </c>
      <c r="B567" s="11" t="s">
        <v>16</v>
      </c>
      <c r="C567" s="11" t="s">
        <v>42</v>
      </c>
      <c r="D567" s="11">
        <v>112.52</v>
      </c>
      <c r="E567" s="11">
        <v>19</v>
      </c>
      <c r="F567" s="11">
        <v>2137.88</v>
      </c>
      <c r="G567" s="12">
        <v>45128</v>
      </c>
      <c r="H567" s="12">
        <v>45328</v>
      </c>
      <c r="I567">
        <f t="shared" si="8"/>
        <v>1</v>
      </c>
    </row>
    <row r="568" spans="1:9" x14ac:dyDescent="0.3">
      <c r="A568" s="11">
        <v>29894</v>
      </c>
      <c r="B568" s="11" t="s">
        <v>27</v>
      </c>
      <c r="C568" s="11" t="s">
        <v>54</v>
      </c>
      <c r="D568" s="11">
        <v>730.09</v>
      </c>
      <c r="E568" s="11">
        <v>25</v>
      </c>
      <c r="F568" s="11">
        <v>18252.25</v>
      </c>
      <c r="G568" s="12">
        <v>45543</v>
      </c>
      <c r="H568" s="12">
        <v>45570</v>
      </c>
      <c r="I568">
        <f t="shared" si="8"/>
        <v>1</v>
      </c>
    </row>
    <row r="569" spans="1:9" x14ac:dyDescent="0.3">
      <c r="A569" s="11">
        <v>57631</v>
      </c>
      <c r="B569" s="11" t="s">
        <v>17</v>
      </c>
      <c r="C569" s="11" t="s">
        <v>63</v>
      </c>
      <c r="D569" s="11">
        <v>611.66</v>
      </c>
      <c r="E569" s="11">
        <v>15</v>
      </c>
      <c r="F569" s="11">
        <v>9174.9</v>
      </c>
      <c r="G569" s="12">
        <v>45536</v>
      </c>
      <c r="H569" s="12">
        <v>45315</v>
      </c>
      <c r="I569" t="e">
        <f t="shared" si="8"/>
        <v>#NUM!</v>
      </c>
    </row>
    <row r="570" spans="1:9" x14ac:dyDescent="0.3">
      <c r="A570" s="11">
        <v>12359</v>
      </c>
      <c r="B570" s="11" t="s">
        <v>17</v>
      </c>
      <c r="C570" s="11" t="s">
        <v>29</v>
      </c>
      <c r="D570" s="11">
        <v>683.98</v>
      </c>
      <c r="E570" s="11">
        <v>37</v>
      </c>
      <c r="F570" s="11">
        <v>25307.26</v>
      </c>
      <c r="G570" s="12">
        <v>45503</v>
      </c>
      <c r="H570" s="12">
        <v>45003</v>
      </c>
      <c r="I570" t="e">
        <f t="shared" si="8"/>
        <v>#NUM!</v>
      </c>
    </row>
    <row r="571" spans="1:9" x14ac:dyDescent="0.3">
      <c r="A571" s="11">
        <v>41479</v>
      </c>
      <c r="B571" s="11" t="s">
        <v>11</v>
      </c>
      <c r="C571" s="11" t="s">
        <v>49</v>
      </c>
      <c r="D571" s="11">
        <v>534.77</v>
      </c>
      <c r="E571" s="11">
        <v>43</v>
      </c>
      <c r="F571" s="11">
        <v>22995.11</v>
      </c>
      <c r="G571" s="12">
        <v>45126</v>
      </c>
      <c r="H571" s="12">
        <v>45433</v>
      </c>
      <c r="I571">
        <f t="shared" si="8"/>
        <v>1</v>
      </c>
    </row>
    <row r="572" spans="1:9" x14ac:dyDescent="0.3">
      <c r="A572" s="11">
        <v>84060</v>
      </c>
      <c r="B572" s="11" t="s">
        <v>20</v>
      </c>
      <c r="C572" s="11" t="s">
        <v>47</v>
      </c>
      <c r="D572" s="11">
        <v>682.74</v>
      </c>
      <c r="E572" s="11">
        <v>27</v>
      </c>
      <c r="F572" s="11">
        <v>18433.98</v>
      </c>
      <c r="G572" s="12">
        <v>45532</v>
      </c>
      <c r="H572" s="12">
        <v>44977</v>
      </c>
      <c r="I572" t="e">
        <f t="shared" si="8"/>
        <v>#NUM!</v>
      </c>
    </row>
    <row r="573" spans="1:9" x14ac:dyDescent="0.3">
      <c r="A573" s="11">
        <v>30624</v>
      </c>
      <c r="B573" s="11" t="s">
        <v>9</v>
      </c>
      <c r="C573" s="11" t="s">
        <v>50</v>
      </c>
      <c r="D573" s="11">
        <v>468.95</v>
      </c>
      <c r="E573" s="11">
        <v>40</v>
      </c>
      <c r="F573" s="11">
        <v>18758</v>
      </c>
      <c r="G573" s="12">
        <v>45085</v>
      </c>
      <c r="H573" s="12">
        <v>45129</v>
      </c>
      <c r="I573">
        <f t="shared" si="8"/>
        <v>1</v>
      </c>
    </row>
    <row r="574" spans="1:9" x14ac:dyDescent="0.3">
      <c r="A574" s="11">
        <v>18504</v>
      </c>
      <c r="B574" s="11" t="s">
        <v>8</v>
      </c>
      <c r="C574" s="11" t="s">
        <v>72</v>
      </c>
      <c r="D574" s="11">
        <v>913.18</v>
      </c>
      <c r="E574" s="11">
        <v>3</v>
      </c>
      <c r="F574" s="11">
        <v>2739.54</v>
      </c>
      <c r="G574" s="12">
        <v>45608</v>
      </c>
      <c r="H574" s="12">
        <v>45169</v>
      </c>
      <c r="I574" t="e">
        <f t="shared" si="8"/>
        <v>#NUM!</v>
      </c>
    </row>
    <row r="575" spans="1:9" x14ac:dyDescent="0.3">
      <c r="A575" s="11">
        <v>38680</v>
      </c>
      <c r="B575" s="11" t="s">
        <v>25</v>
      </c>
      <c r="C575" s="11" t="s">
        <v>34</v>
      </c>
      <c r="D575" s="11">
        <v>222.47</v>
      </c>
      <c r="E575" s="11">
        <v>17</v>
      </c>
      <c r="F575" s="11">
        <v>3781.99</v>
      </c>
      <c r="G575" s="12">
        <v>45407</v>
      </c>
      <c r="H575" s="12">
        <v>45187</v>
      </c>
      <c r="I575" t="e">
        <f t="shared" si="8"/>
        <v>#NUM!</v>
      </c>
    </row>
    <row r="576" spans="1:9" x14ac:dyDescent="0.3">
      <c r="A576" s="11">
        <v>98401</v>
      </c>
      <c r="B576" s="11" t="s">
        <v>26</v>
      </c>
      <c r="C576" s="11" t="s">
        <v>31</v>
      </c>
      <c r="D576" s="11">
        <v>449.74</v>
      </c>
      <c r="E576" s="11">
        <v>48</v>
      </c>
      <c r="F576" s="11">
        <v>21587.52</v>
      </c>
      <c r="G576" s="12">
        <v>45111</v>
      </c>
      <c r="H576" s="12">
        <v>45562</v>
      </c>
      <c r="I576">
        <f t="shared" si="8"/>
        <v>1</v>
      </c>
    </row>
    <row r="577" spans="1:9" x14ac:dyDescent="0.3">
      <c r="A577" s="11">
        <v>64022</v>
      </c>
      <c r="B577" s="11" t="s">
        <v>21</v>
      </c>
      <c r="C577" s="11" t="s">
        <v>67</v>
      </c>
      <c r="D577" s="11">
        <v>402.36</v>
      </c>
      <c r="E577" s="11">
        <v>13</v>
      </c>
      <c r="F577" s="11">
        <v>5230.68</v>
      </c>
      <c r="G577" s="12">
        <v>45335</v>
      </c>
      <c r="H577" s="12">
        <v>45245</v>
      </c>
      <c r="I577" t="e">
        <f t="shared" si="8"/>
        <v>#NUM!</v>
      </c>
    </row>
    <row r="578" spans="1:9" x14ac:dyDescent="0.3">
      <c r="A578" s="11">
        <v>41586</v>
      </c>
      <c r="B578" s="11" t="s">
        <v>15</v>
      </c>
      <c r="C578" s="11" t="s">
        <v>62</v>
      </c>
      <c r="D578" s="11">
        <v>474.55</v>
      </c>
      <c r="E578" s="11">
        <v>30</v>
      </c>
      <c r="F578" s="11">
        <v>14236.5</v>
      </c>
      <c r="G578" s="12">
        <v>45505</v>
      </c>
      <c r="H578" s="12">
        <v>45304</v>
      </c>
      <c r="I578" t="e">
        <f t="shared" si="8"/>
        <v>#NUM!</v>
      </c>
    </row>
    <row r="579" spans="1:9" x14ac:dyDescent="0.3">
      <c r="A579" s="11">
        <v>10173</v>
      </c>
      <c r="B579" s="11" t="s">
        <v>11</v>
      </c>
      <c r="C579" s="11" t="s">
        <v>77</v>
      </c>
      <c r="D579" s="11">
        <v>761.92</v>
      </c>
      <c r="E579" s="11">
        <v>13</v>
      </c>
      <c r="F579" s="11">
        <v>9904.9599999999991</v>
      </c>
      <c r="G579" s="12">
        <v>45281</v>
      </c>
      <c r="H579" s="12">
        <v>45078</v>
      </c>
      <c r="I579" t="e">
        <f t="shared" ref="I579:I642" si="9">IF(DATEDIF(G579,H579,"d") &gt; 15,1,0)</f>
        <v>#NUM!</v>
      </c>
    </row>
    <row r="580" spans="1:9" x14ac:dyDescent="0.3">
      <c r="A580" s="11">
        <v>96389</v>
      </c>
      <c r="B580" s="11" t="s">
        <v>13</v>
      </c>
      <c r="C580" s="11" t="s">
        <v>66</v>
      </c>
      <c r="D580" s="11">
        <v>45.72</v>
      </c>
      <c r="E580" s="11">
        <v>49</v>
      </c>
      <c r="F580" s="11">
        <v>2240.2800000000002</v>
      </c>
      <c r="G580" s="12">
        <v>45561</v>
      </c>
      <c r="H580" s="12">
        <v>45489</v>
      </c>
      <c r="I580" t="e">
        <f t="shared" si="9"/>
        <v>#NUM!</v>
      </c>
    </row>
    <row r="581" spans="1:9" x14ac:dyDescent="0.3">
      <c r="A581" s="11">
        <v>10730</v>
      </c>
      <c r="B581" s="11" t="s">
        <v>15</v>
      </c>
      <c r="C581" s="11" t="s">
        <v>28</v>
      </c>
      <c r="D581" s="11">
        <v>855.99</v>
      </c>
      <c r="E581" s="11">
        <v>11</v>
      </c>
      <c r="F581" s="11">
        <v>9415.89</v>
      </c>
      <c r="G581" s="12">
        <v>45106</v>
      </c>
      <c r="H581" s="12">
        <v>45392</v>
      </c>
      <c r="I581">
        <f t="shared" si="9"/>
        <v>1</v>
      </c>
    </row>
    <row r="582" spans="1:9" x14ac:dyDescent="0.3">
      <c r="A582" s="11">
        <v>92176</v>
      </c>
      <c r="B582" s="11" t="s">
        <v>10</v>
      </c>
      <c r="C582" s="11" t="s">
        <v>59</v>
      </c>
      <c r="D582" s="11">
        <v>346.37</v>
      </c>
      <c r="E582" s="11">
        <v>49</v>
      </c>
      <c r="F582" s="11">
        <v>16972.13</v>
      </c>
      <c r="G582" s="12">
        <v>45431</v>
      </c>
      <c r="H582" s="12">
        <v>45335</v>
      </c>
      <c r="I582" t="e">
        <f t="shared" si="9"/>
        <v>#NUM!</v>
      </c>
    </row>
    <row r="583" spans="1:9" x14ac:dyDescent="0.3">
      <c r="A583" s="11">
        <v>92600</v>
      </c>
      <c r="B583" s="11" t="s">
        <v>12</v>
      </c>
      <c r="C583" s="11" t="s">
        <v>75</v>
      </c>
      <c r="D583" s="11">
        <v>325</v>
      </c>
      <c r="E583" s="11">
        <v>41</v>
      </c>
      <c r="F583" s="11">
        <v>13325</v>
      </c>
      <c r="G583" s="12">
        <v>45001</v>
      </c>
      <c r="H583" s="12">
        <v>45248</v>
      </c>
      <c r="I583">
        <f t="shared" si="9"/>
        <v>1</v>
      </c>
    </row>
    <row r="584" spans="1:9" x14ac:dyDescent="0.3">
      <c r="A584" s="11">
        <v>93520</v>
      </c>
      <c r="B584" s="11" t="s">
        <v>26</v>
      </c>
      <c r="C584" s="11" t="s">
        <v>53</v>
      </c>
      <c r="D584" s="11">
        <v>972.24</v>
      </c>
      <c r="E584" s="11">
        <v>24</v>
      </c>
      <c r="F584" s="11">
        <v>23333.759999999998</v>
      </c>
      <c r="G584" s="12">
        <v>44966</v>
      </c>
      <c r="H584" s="12">
        <v>45071</v>
      </c>
      <c r="I584">
        <f t="shared" si="9"/>
        <v>1</v>
      </c>
    </row>
    <row r="585" spans="1:9" x14ac:dyDescent="0.3">
      <c r="A585" s="11">
        <v>56052</v>
      </c>
      <c r="B585" s="11" t="s">
        <v>9</v>
      </c>
      <c r="C585" s="11" t="s">
        <v>30</v>
      </c>
      <c r="D585" s="11">
        <v>68.05</v>
      </c>
      <c r="E585" s="11">
        <v>14</v>
      </c>
      <c r="F585" s="11">
        <v>952.7</v>
      </c>
      <c r="G585" s="12">
        <v>45052</v>
      </c>
      <c r="H585" s="12">
        <v>45476</v>
      </c>
      <c r="I585">
        <f t="shared" si="9"/>
        <v>1</v>
      </c>
    </row>
    <row r="586" spans="1:9" x14ac:dyDescent="0.3">
      <c r="A586" s="11">
        <v>37267</v>
      </c>
      <c r="B586" s="11" t="s">
        <v>23</v>
      </c>
      <c r="C586" s="11" t="s">
        <v>37</v>
      </c>
      <c r="D586" s="11">
        <v>796.94</v>
      </c>
      <c r="E586" s="11">
        <v>19</v>
      </c>
      <c r="F586" s="11">
        <v>15141.86</v>
      </c>
      <c r="G586" s="12">
        <v>44995</v>
      </c>
      <c r="H586" s="12">
        <v>45095</v>
      </c>
      <c r="I586">
        <f t="shared" si="9"/>
        <v>1</v>
      </c>
    </row>
    <row r="587" spans="1:9" x14ac:dyDescent="0.3">
      <c r="A587" s="11">
        <v>29056</v>
      </c>
      <c r="B587" s="11" t="s">
        <v>19</v>
      </c>
      <c r="C587" s="11" t="s">
        <v>30</v>
      </c>
      <c r="D587" s="11">
        <v>68.05</v>
      </c>
      <c r="E587" s="11">
        <v>40</v>
      </c>
      <c r="F587" s="11">
        <v>2722</v>
      </c>
      <c r="G587" s="12">
        <v>45156</v>
      </c>
      <c r="H587" s="12">
        <v>45079</v>
      </c>
      <c r="I587" t="e">
        <f t="shared" si="9"/>
        <v>#NUM!</v>
      </c>
    </row>
    <row r="588" spans="1:9" x14ac:dyDescent="0.3">
      <c r="A588" s="11">
        <v>35567</v>
      </c>
      <c r="B588" s="11" t="s">
        <v>16</v>
      </c>
      <c r="C588" s="11" t="s">
        <v>67</v>
      </c>
      <c r="D588" s="11">
        <v>402.36</v>
      </c>
      <c r="E588" s="11">
        <v>15</v>
      </c>
      <c r="F588" s="11">
        <v>6035.4</v>
      </c>
      <c r="G588" s="12">
        <v>44978</v>
      </c>
      <c r="H588" s="12">
        <v>45156</v>
      </c>
      <c r="I588">
        <f t="shared" si="9"/>
        <v>1</v>
      </c>
    </row>
    <row r="589" spans="1:9" x14ac:dyDescent="0.3">
      <c r="A589" s="11">
        <v>62210</v>
      </c>
      <c r="B589" s="11" t="s">
        <v>14</v>
      </c>
      <c r="C589" s="11" t="s">
        <v>30</v>
      </c>
      <c r="D589" s="11">
        <v>68.05</v>
      </c>
      <c r="E589" s="11">
        <v>16</v>
      </c>
      <c r="F589" s="11">
        <v>1088.8</v>
      </c>
      <c r="G589" s="12">
        <v>45302</v>
      </c>
      <c r="H589" s="12">
        <v>44996</v>
      </c>
      <c r="I589" t="e">
        <f t="shared" si="9"/>
        <v>#NUM!</v>
      </c>
    </row>
    <row r="590" spans="1:9" x14ac:dyDescent="0.3">
      <c r="A590" s="11">
        <v>58446</v>
      </c>
      <c r="B590" s="11" t="s">
        <v>12</v>
      </c>
      <c r="C590" s="11" t="s">
        <v>44</v>
      </c>
      <c r="D590" s="11">
        <v>654.4</v>
      </c>
      <c r="E590" s="11">
        <v>7</v>
      </c>
      <c r="F590" s="11">
        <v>4580.8</v>
      </c>
      <c r="G590" s="12">
        <v>45440</v>
      </c>
      <c r="H590" s="12">
        <v>45327</v>
      </c>
      <c r="I590" t="e">
        <f t="shared" si="9"/>
        <v>#NUM!</v>
      </c>
    </row>
    <row r="591" spans="1:9" x14ac:dyDescent="0.3">
      <c r="A591" s="11">
        <v>69502</v>
      </c>
      <c r="B591" s="11" t="s">
        <v>23</v>
      </c>
      <c r="C591" s="11" t="s">
        <v>38</v>
      </c>
      <c r="D591" s="11">
        <v>233.83</v>
      </c>
      <c r="E591" s="11">
        <v>4</v>
      </c>
      <c r="F591" s="11">
        <v>935.32</v>
      </c>
      <c r="G591" s="12">
        <v>45304</v>
      </c>
      <c r="H591" s="12">
        <v>45424</v>
      </c>
      <c r="I591">
        <f t="shared" si="9"/>
        <v>1</v>
      </c>
    </row>
    <row r="592" spans="1:9" x14ac:dyDescent="0.3">
      <c r="A592" s="11">
        <v>36132</v>
      </c>
      <c r="B592" s="11" t="s">
        <v>10</v>
      </c>
      <c r="C592" s="11" t="s">
        <v>50</v>
      </c>
      <c r="D592" s="11">
        <v>468.95</v>
      </c>
      <c r="E592" s="11">
        <v>21</v>
      </c>
      <c r="F592" s="11">
        <v>9847.9500000000007</v>
      </c>
      <c r="G592" s="12">
        <v>45260</v>
      </c>
      <c r="H592" s="12">
        <v>45310</v>
      </c>
      <c r="I592">
        <f t="shared" si="9"/>
        <v>1</v>
      </c>
    </row>
    <row r="593" spans="1:9" x14ac:dyDescent="0.3">
      <c r="A593" s="11">
        <v>14456</v>
      </c>
      <c r="B593" s="11" t="s">
        <v>23</v>
      </c>
      <c r="C593" s="11" t="s">
        <v>35</v>
      </c>
      <c r="D593" s="11">
        <v>101.12</v>
      </c>
      <c r="E593" s="11">
        <v>16</v>
      </c>
      <c r="F593" s="11">
        <v>1617.92</v>
      </c>
      <c r="G593" s="12">
        <v>45585</v>
      </c>
      <c r="H593" s="12">
        <v>45625</v>
      </c>
      <c r="I593">
        <f t="shared" si="9"/>
        <v>1</v>
      </c>
    </row>
    <row r="594" spans="1:9" x14ac:dyDescent="0.3">
      <c r="A594" s="11">
        <v>73470</v>
      </c>
      <c r="B594" s="11" t="s">
        <v>26</v>
      </c>
      <c r="C594" s="11" t="s">
        <v>68</v>
      </c>
      <c r="D594" s="11">
        <v>795.19</v>
      </c>
      <c r="E594" s="11">
        <v>6</v>
      </c>
      <c r="F594" s="11">
        <v>4771.1400000000003</v>
      </c>
      <c r="G594" s="12">
        <v>45587</v>
      </c>
      <c r="H594" s="12">
        <v>45038</v>
      </c>
      <c r="I594" t="e">
        <f t="shared" si="9"/>
        <v>#NUM!</v>
      </c>
    </row>
    <row r="595" spans="1:9" x14ac:dyDescent="0.3">
      <c r="A595" s="11">
        <v>79615</v>
      </c>
      <c r="B595" s="11" t="s">
        <v>23</v>
      </c>
      <c r="C595" s="11" t="s">
        <v>56</v>
      </c>
      <c r="D595" s="11">
        <v>641.34</v>
      </c>
      <c r="E595" s="11">
        <v>11</v>
      </c>
      <c r="F595" s="11">
        <v>7054.74</v>
      </c>
      <c r="G595" s="12">
        <v>45428</v>
      </c>
      <c r="H595" s="12">
        <v>45190</v>
      </c>
      <c r="I595" t="e">
        <f t="shared" si="9"/>
        <v>#NUM!</v>
      </c>
    </row>
    <row r="596" spans="1:9" x14ac:dyDescent="0.3">
      <c r="A596" s="11">
        <v>89557</v>
      </c>
      <c r="B596" s="11" t="s">
        <v>24</v>
      </c>
      <c r="C596" s="11" t="s">
        <v>58</v>
      </c>
      <c r="D596" s="11">
        <v>988.73</v>
      </c>
      <c r="E596" s="11">
        <v>7</v>
      </c>
      <c r="F596" s="11">
        <v>6921.11</v>
      </c>
      <c r="G596" s="12">
        <v>45012</v>
      </c>
      <c r="H596" s="12">
        <v>45304</v>
      </c>
      <c r="I596">
        <f t="shared" si="9"/>
        <v>1</v>
      </c>
    </row>
    <row r="597" spans="1:9" x14ac:dyDescent="0.3">
      <c r="A597" s="11">
        <v>19883</v>
      </c>
      <c r="B597" s="11" t="s">
        <v>20</v>
      </c>
      <c r="C597" s="11" t="s">
        <v>74</v>
      </c>
      <c r="D597" s="11">
        <v>346.4</v>
      </c>
      <c r="E597" s="11">
        <v>37</v>
      </c>
      <c r="F597" s="11">
        <v>12816.8</v>
      </c>
      <c r="G597" s="12">
        <v>45342</v>
      </c>
      <c r="H597" s="12">
        <v>45655</v>
      </c>
      <c r="I597">
        <f t="shared" si="9"/>
        <v>1</v>
      </c>
    </row>
    <row r="598" spans="1:9" x14ac:dyDescent="0.3">
      <c r="A598" s="11">
        <v>17751</v>
      </c>
      <c r="B598" s="11" t="s">
        <v>11</v>
      </c>
      <c r="C598" s="11" t="s">
        <v>44</v>
      </c>
      <c r="D598" s="11">
        <v>654.4</v>
      </c>
      <c r="E598" s="11">
        <v>29</v>
      </c>
      <c r="F598" s="11">
        <v>18977.599999999999</v>
      </c>
      <c r="G598" s="12">
        <v>45248</v>
      </c>
      <c r="H598" s="12">
        <v>44966</v>
      </c>
      <c r="I598" t="e">
        <f t="shared" si="9"/>
        <v>#NUM!</v>
      </c>
    </row>
    <row r="599" spans="1:9" x14ac:dyDescent="0.3">
      <c r="A599" s="11">
        <v>31326</v>
      </c>
      <c r="B599" s="11" t="s">
        <v>19</v>
      </c>
      <c r="C599" s="11" t="s">
        <v>66</v>
      </c>
      <c r="D599" s="11">
        <v>45.72</v>
      </c>
      <c r="E599" s="11">
        <v>48</v>
      </c>
      <c r="F599" s="11">
        <v>2194.56</v>
      </c>
      <c r="G599" s="12">
        <v>45485</v>
      </c>
      <c r="H599" s="12">
        <v>45303</v>
      </c>
      <c r="I599" t="e">
        <f t="shared" si="9"/>
        <v>#NUM!</v>
      </c>
    </row>
    <row r="600" spans="1:9" x14ac:dyDescent="0.3">
      <c r="A600" s="11">
        <v>37746</v>
      </c>
      <c r="B600" s="11" t="s">
        <v>9</v>
      </c>
      <c r="C600" s="11" t="s">
        <v>76</v>
      </c>
      <c r="D600" s="11">
        <v>95.12</v>
      </c>
      <c r="E600" s="11">
        <v>16</v>
      </c>
      <c r="F600" s="11">
        <v>1521.92</v>
      </c>
      <c r="G600" s="12">
        <v>45094</v>
      </c>
      <c r="H600" s="12">
        <v>45202</v>
      </c>
      <c r="I600">
        <f t="shared" si="9"/>
        <v>1</v>
      </c>
    </row>
    <row r="601" spans="1:9" x14ac:dyDescent="0.3">
      <c r="A601" s="11">
        <v>59739</v>
      </c>
      <c r="B601" s="11" t="s">
        <v>21</v>
      </c>
      <c r="C601" s="11" t="s">
        <v>62</v>
      </c>
      <c r="D601" s="11">
        <v>474.55</v>
      </c>
      <c r="E601" s="11">
        <v>21</v>
      </c>
      <c r="F601" s="11">
        <v>9965.5499999999993</v>
      </c>
      <c r="G601" s="12">
        <v>45517</v>
      </c>
      <c r="H601" s="12">
        <v>45311</v>
      </c>
      <c r="I601" t="e">
        <f t="shared" si="9"/>
        <v>#NUM!</v>
      </c>
    </row>
    <row r="602" spans="1:9" x14ac:dyDescent="0.3">
      <c r="A602" s="11">
        <v>63075</v>
      </c>
      <c r="B602" s="11" t="s">
        <v>25</v>
      </c>
      <c r="C602" s="11" t="s">
        <v>75</v>
      </c>
      <c r="D602" s="11">
        <v>325</v>
      </c>
      <c r="E602" s="11">
        <v>35</v>
      </c>
      <c r="F602" s="11">
        <v>11375</v>
      </c>
      <c r="G602" s="12">
        <v>45631</v>
      </c>
      <c r="H602" s="12">
        <v>45446</v>
      </c>
      <c r="I602" t="e">
        <f t="shared" si="9"/>
        <v>#NUM!</v>
      </c>
    </row>
    <row r="603" spans="1:9" x14ac:dyDescent="0.3">
      <c r="A603" s="11">
        <v>31392</v>
      </c>
      <c r="B603" s="11" t="s">
        <v>9</v>
      </c>
      <c r="C603" s="11" t="s">
        <v>33</v>
      </c>
      <c r="D603" s="11">
        <v>622.16</v>
      </c>
      <c r="E603" s="11">
        <v>38</v>
      </c>
      <c r="F603" s="11">
        <v>23642.080000000002</v>
      </c>
      <c r="G603" s="12">
        <v>45295</v>
      </c>
      <c r="H603" s="12">
        <v>45497</v>
      </c>
      <c r="I603">
        <f t="shared" si="9"/>
        <v>1</v>
      </c>
    </row>
    <row r="604" spans="1:9" x14ac:dyDescent="0.3">
      <c r="A604" s="11">
        <v>55213</v>
      </c>
      <c r="B604" s="11" t="s">
        <v>14</v>
      </c>
      <c r="C604" s="11" t="s">
        <v>30</v>
      </c>
      <c r="D604" s="11">
        <v>68.05</v>
      </c>
      <c r="E604" s="11">
        <v>36</v>
      </c>
      <c r="F604" s="11">
        <v>2449.8000000000002</v>
      </c>
      <c r="G604" s="12">
        <v>45178</v>
      </c>
      <c r="H604" s="12">
        <v>45459</v>
      </c>
      <c r="I604">
        <f t="shared" si="9"/>
        <v>1</v>
      </c>
    </row>
    <row r="605" spans="1:9" x14ac:dyDescent="0.3">
      <c r="A605" s="11">
        <v>88648</v>
      </c>
      <c r="B605" s="11" t="s">
        <v>20</v>
      </c>
      <c r="C605" s="11" t="s">
        <v>50</v>
      </c>
      <c r="D605" s="11">
        <v>468.95</v>
      </c>
      <c r="E605" s="11">
        <v>39</v>
      </c>
      <c r="F605" s="11">
        <v>18289.05</v>
      </c>
      <c r="G605" s="12">
        <v>44967</v>
      </c>
      <c r="H605" s="12">
        <v>45063</v>
      </c>
      <c r="I605">
        <f t="shared" si="9"/>
        <v>1</v>
      </c>
    </row>
    <row r="606" spans="1:9" x14ac:dyDescent="0.3">
      <c r="A606" s="11">
        <v>35976</v>
      </c>
      <c r="B606" s="11" t="s">
        <v>20</v>
      </c>
      <c r="C606" s="11" t="s">
        <v>43</v>
      </c>
      <c r="D606" s="11">
        <v>608.37</v>
      </c>
      <c r="E606" s="11">
        <v>7</v>
      </c>
      <c r="F606" s="11">
        <v>4258.59</v>
      </c>
      <c r="G606" s="12">
        <v>45200</v>
      </c>
      <c r="H606" s="12">
        <v>44961</v>
      </c>
      <c r="I606" t="e">
        <f t="shared" si="9"/>
        <v>#NUM!</v>
      </c>
    </row>
    <row r="607" spans="1:9" x14ac:dyDescent="0.3">
      <c r="A607" s="11">
        <v>69146</v>
      </c>
      <c r="B607" s="11" t="s">
        <v>11</v>
      </c>
      <c r="C607" s="11" t="s">
        <v>49</v>
      </c>
      <c r="D607" s="11">
        <v>534.77</v>
      </c>
      <c r="E607" s="11">
        <v>5</v>
      </c>
      <c r="F607" s="11">
        <v>2673.85</v>
      </c>
      <c r="G607" s="12">
        <v>45004</v>
      </c>
      <c r="H607" s="12">
        <v>45457</v>
      </c>
      <c r="I607">
        <f t="shared" si="9"/>
        <v>1</v>
      </c>
    </row>
    <row r="608" spans="1:9" x14ac:dyDescent="0.3">
      <c r="A608" s="11">
        <v>12370</v>
      </c>
      <c r="B608" s="11" t="s">
        <v>21</v>
      </c>
      <c r="C608" s="11" t="s">
        <v>33</v>
      </c>
      <c r="D608" s="11">
        <v>622.16</v>
      </c>
      <c r="E608" s="11">
        <v>16</v>
      </c>
      <c r="F608" s="11">
        <v>9954.56</v>
      </c>
      <c r="G608" s="12">
        <v>45435</v>
      </c>
      <c r="H608" s="12">
        <v>45310</v>
      </c>
      <c r="I608" t="e">
        <f t="shared" si="9"/>
        <v>#NUM!</v>
      </c>
    </row>
    <row r="609" spans="1:9" x14ac:dyDescent="0.3">
      <c r="A609" s="11">
        <v>11481</v>
      </c>
      <c r="B609" s="11" t="s">
        <v>26</v>
      </c>
      <c r="C609" s="11" t="s">
        <v>28</v>
      </c>
      <c r="D609" s="11">
        <v>855.99</v>
      </c>
      <c r="E609" s="11">
        <v>17</v>
      </c>
      <c r="F609" s="11">
        <v>14551.83</v>
      </c>
      <c r="G609" s="12">
        <v>44960</v>
      </c>
      <c r="H609" s="12">
        <v>45330</v>
      </c>
      <c r="I609">
        <f t="shared" si="9"/>
        <v>1</v>
      </c>
    </row>
    <row r="610" spans="1:9" x14ac:dyDescent="0.3">
      <c r="A610" s="11">
        <v>68090</v>
      </c>
      <c r="B610" s="11" t="s">
        <v>22</v>
      </c>
      <c r="C610" s="11" t="s">
        <v>44</v>
      </c>
      <c r="D610" s="11">
        <v>654.4</v>
      </c>
      <c r="E610" s="11">
        <v>17</v>
      </c>
      <c r="F610" s="11">
        <v>11124.8</v>
      </c>
      <c r="G610" s="12">
        <v>45234</v>
      </c>
      <c r="H610" s="12">
        <v>45478</v>
      </c>
      <c r="I610">
        <f t="shared" si="9"/>
        <v>1</v>
      </c>
    </row>
    <row r="611" spans="1:9" x14ac:dyDescent="0.3">
      <c r="A611" s="11">
        <v>45663</v>
      </c>
      <c r="B611" s="11" t="s">
        <v>20</v>
      </c>
      <c r="C611" s="11" t="s">
        <v>69</v>
      </c>
      <c r="D611" s="11">
        <v>158.66999999999999</v>
      </c>
      <c r="E611" s="11">
        <v>4</v>
      </c>
      <c r="F611" s="11">
        <v>634.67999999999995</v>
      </c>
      <c r="G611" s="12">
        <v>45077</v>
      </c>
      <c r="H611" s="12">
        <v>45232</v>
      </c>
      <c r="I611">
        <f t="shared" si="9"/>
        <v>1</v>
      </c>
    </row>
    <row r="612" spans="1:9" x14ac:dyDescent="0.3">
      <c r="A612" s="11">
        <v>77691</v>
      </c>
      <c r="B612" s="11" t="s">
        <v>26</v>
      </c>
      <c r="C612" s="11" t="s">
        <v>40</v>
      </c>
      <c r="D612" s="11">
        <v>875.47</v>
      </c>
      <c r="E612" s="11">
        <v>46</v>
      </c>
      <c r="F612" s="11">
        <v>40271.620000000003</v>
      </c>
      <c r="G612" s="12">
        <v>45188</v>
      </c>
      <c r="H612" s="12">
        <v>45116</v>
      </c>
      <c r="I612" t="e">
        <f t="shared" si="9"/>
        <v>#NUM!</v>
      </c>
    </row>
    <row r="613" spans="1:9" x14ac:dyDescent="0.3">
      <c r="A613" s="11">
        <v>65922</v>
      </c>
      <c r="B613" s="11" t="s">
        <v>21</v>
      </c>
      <c r="C613" s="11" t="s">
        <v>30</v>
      </c>
      <c r="D613" s="11">
        <v>68.05</v>
      </c>
      <c r="E613" s="11">
        <v>19</v>
      </c>
      <c r="F613" s="11">
        <v>1292.95</v>
      </c>
      <c r="G613" s="12">
        <v>44958</v>
      </c>
      <c r="H613" s="12">
        <v>45636</v>
      </c>
      <c r="I613">
        <f t="shared" si="9"/>
        <v>1</v>
      </c>
    </row>
    <row r="614" spans="1:9" x14ac:dyDescent="0.3">
      <c r="A614" s="11">
        <v>75782</v>
      </c>
      <c r="B614" s="11" t="s">
        <v>10</v>
      </c>
      <c r="C614" s="11" t="s">
        <v>46</v>
      </c>
      <c r="D614" s="11">
        <v>617.33000000000004</v>
      </c>
      <c r="E614" s="11">
        <v>23</v>
      </c>
      <c r="F614" s="11">
        <v>14198.59</v>
      </c>
      <c r="G614" s="12">
        <v>45027</v>
      </c>
      <c r="H614" s="12">
        <v>45482</v>
      </c>
      <c r="I614">
        <f t="shared" si="9"/>
        <v>1</v>
      </c>
    </row>
    <row r="615" spans="1:9" x14ac:dyDescent="0.3">
      <c r="A615" s="11">
        <v>19084</v>
      </c>
      <c r="B615" s="11" t="s">
        <v>18</v>
      </c>
      <c r="C615" s="11" t="s">
        <v>42</v>
      </c>
      <c r="D615" s="11">
        <v>112.52</v>
      </c>
      <c r="E615" s="11">
        <v>49</v>
      </c>
      <c r="F615" s="11">
        <v>5513.48</v>
      </c>
      <c r="G615" s="12">
        <v>45674</v>
      </c>
      <c r="H615" s="12">
        <v>45462</v>
      </c>
      <c r="I615" t="e">
        <f t="shared" si="9"/>
        <v>#NUM!</v>
      </c>
    </row>
    <row r="616" spans="1:9" x14ac:dyDescent="0.3">
      <c r="A616" s="11">
        <v>46593</v>
      </c>
      <c r="B616" s="11" t="s">
        <v>11</v>
      </c>
      <c r="C616" s="11" t="s">
        <v>51</v>
      </c>
      <c r="D616" s="11">
        <v>533.15</v>
      </c>
      <c r="E616" s="11">
        <v>35</v>
      </c>
      <c r="F616" s="11">
        <v>18660.25</v>
      </c>
      <c r="G616" s="12">
        <v>45444</v>
      </c>
      <c r="H616" s="12">
        <v>45002</v>
      </c>
      <c r="I616" t="e">
        <f t="shared" si="9"/>
        <v>#NUM!</v>
      </c>
    </row>
    <row r="617" spans="1:9" x14ac:dyDescent="0.3">
      <c r="A617" s="11">
        <v>47976</v>
      </c>
      <c r="B617" s="11" t="s">
        <v>25</v>
      </c>
      <c r="C617" s="11" t="s">
        <v>67</v>
      </c>
      <c r="D617" s="11">
        <v>402.36</v>
      </c>
      <c r="E617" s="11">
        <v>5</v>
      </c>
      <c r="F617" s="11">
        <v>2011.8</v>
      </c>
      <c r="G617" s="12">
        <v>44977</v>
      </c>
      <c r="H617" s="12">
        <v>45647</v>
      </c>
      <c r="I617">
        <f t="shared" si="9"/>
        <v>1</v>
      </c>
    </row>
    <row r="618" spans="1:9" x14ac:dyDescent="0.3">
      <c r="A618" s="11">
        <v>82291</v>
      </c>
      <c r="B618" s="11" t="s">
        <v>26</v>
      </c>
      <c r="C618" s="11" t="s">
        <v>56</v>
      </c>
      <c r="D618" s="11">
        <v>641.34</v>
      </c>
      <c r="E618" s="11">
        <v>20</v>
      </c>
      <c r="F618" s="11">
        <v>12826.8</v>
      </c>
      <c r="G618" s="12">
        <v>45188</v>
      </c>
      <c r="H618" s="12">
        <v>44974</v>
      </c>
      <c r="I618" t="e">
        <f t="shared" si="9"/>
        <v>#NUM!</v>
      </c>
    </row>
    <row r="619" spans="1:9" x14ac:dyDescent="0.3">
      <c r="A619" s="11">
        <v>21347</v>
      </c>
      <c r="B619" s="11" t="s">
        <v>22</v>
      </c>
      <c r="C619" s="11" t="s">
        <v>57</v>
      </c>
      <c r="D619" s="11">
        <v>404.9</v>
      </c>
      <c r="E619" s="11">
        <v>37</v>
      </c>
      <c r="F619" s="11">
        <v>14981.3</v>
      </c>
      <c r="G619" s="12">
        <v>45168</v>
      </c>
      <c r="H619" s="12">
        <v>45488</v>
      </c>
      <c r="I619">
        <f t="shared" si="9"/>
        <v>1</v>
      </c>
    </row>
    <row r="620" spans="1:9" x14ac:dyDescent="0.3">
      <c r="A620" s="11">
        <v>43786</v>
      </c>
      <c r="B620" s="11" t="s">
        <v>11</v>
      </c>
      <c r="C620" s="11" t="s">
        <v>30</v>
      </c>
      <c r="D620" s="11">
        <v>68.05</v>
      </c>
      <c r="E620" s="11">
        <v>32</v>
      </c>
      <c r="F620" s="11">
        <v>2177.6</v>
      </c>
      <c r="G620" s="12">
        <v>45100</v>
      </c>
      <c r="H620" s="12">
        <v>45412</v>
      </c>
      <c r="I620">
        <f t="shared" si="9"/>
        <v>1</v>
      </c>
    </row>
    <row r="621" spans="1:9" x14ac:dyDescent="0.3">
      <c r="A621" s="11">
        <v>47246</v>
      </c>
      <c r="B621" s="11" t="s">
        <v>14</v>
      </c>
      <c r="C621" s="11" t="s">
        <v>55</v>
      </c>
      <c r="D621" s="11">
        <v>399.32</v>
      </c>
      <c r="E621" s="11">
        <v>50</v>
      </c>
      <c r="F621" s="11">
        <v>19966</v>
      </c>
      <c r="G621" s="12">
        <v>45274</v>
      </c>
      <c r="H621" s="12">
        <v>45027</v>
      </c>
      <c r="I621" t="e">
        <f t="shared" si="9"/>
        <v>#NUM!</v>
      </c>
    </row>
    <row r="622" spans="1:9" x14ac:dyDescent="0.3">
      <c r="A622" s="11">
        <v>33207</v>
      </c>
      <c r="B622" s="11" t="s">
        <v>25</v>
      </c>
      <c r="C622" s="11" t="s">
        <v>34</v>
      </c>
      <c r="D622" s="11">
        <v>222.47</v>
      </c>
      <c r="E622" s="11">
        <v>10</v>
      </c>
      <c r="F622" s="11">
        <v>2224.6999999999998</v>
      </c>
      <c r="G622" s="12">
        <v>45123</v>
      </c>
      <c r="H622" s="12">
        <v>45003</v>
      </c>
      <c r="I622" t="e">
        <f t="shared" si="9"/>
        <v>#NUM!</v>
      </c>
    </row>
    <row r="623" spans="1:9" x14ac:dyDescent="0.3">
      <c r="A623" s="11">
        <v>48355</v>
      </c>
      <c r="B623" s="11" t="s">
        <v>13</v>
      </c>
      <c r="C623" s="11" t="s">
        <v>38</v>
      </c>
      <c r="D623" s="11">
        <v>233.83</v>
      </c>
      <c r="E623" s="11">
        <v>44</v>
      </c>
      <c r="F623" s="11">
        <v>10288.52</v>
      </c>
      <c r="G623" s="12">
        <v>45291</v>
      </c>
      <c r="H623" s="12">
        <v>45151</v>
      </c>
      <c r="I623" t="e">
        <f t="shared" si="9"/>
        <v>#NUM!</v>
      </c>
    </row>
    <row r="624" spans="1:9" x14ac:dyDescent="0.3">
      <c r="A624" s="11">
        <v>20335</v>
      </c>
      <c r="B624" s="11" t="s">
        <v>11</v>
      </c>
      <c r="C624" s="11" t="s">
        <v>73</v>
      </c>
      <c r="D624" s="11">
        <v>890.84</v>
      </c>
      <c r="E624" s="11">
        <v>27</v>
      </c>
      <c r="F624" s="11">
        <v>24052.68</v>
      </c>
      <c r="G624" s="12">
        <v>45659</v>
      </c>
      <c r="H624" s="12">
        <v>45408</v>
      </c>
      <c r="I624" t="e">
        <f t="shared" si="9"/>
        <v>#NUM!</v>
      </c>
    </row>
    <row r="625" spans="1:9" x14ac:dyDescent="0.3">
      <c r="A625" s="11">
        <v>81937</v>
      </c>
      <c r="B625" s="11" t="s">
        <v>11</v>
      </c>
      <c r="C625" s="11" t="s">
        <v>65</v>
      </c>
      <c r="D625" s="11">
        <v>753.12</v>
      </c>
      <c r="E625" s="11">
        <v>23</v>
      </c>
      <c r="F625" s="11">
        <v>17321.759999999998</v>
      </c>
      <c r="G625" s="12">
        <v>45046</v>
      </c>
      <c r="H625" s="12">
        <v>45012</v>
      </c>
      <c r="I625" t="e">
        <f t="shared" si="9"/>
        <v>#NUM!</v>
      </c>
    </row>
    <row r="626" spans="1:9" x14ac:dyDescent="0.3">
      <c r="A626" s="11">
        <v>40612</v>
      </c>
      <c r="B626" s="11" t="s">
        <v>24</v>
      </c>
      <c r="C626" s="11" t="s">
        <v>53</v>
      </c>
      <c r="D626" s="11">
        <v>972.24</v>
      </c>
      <c r="E626" s="11">
        <v>30</v>
      </c>
      <c r="F626" s="11">
        <v>29167.200000000001</v>
      </c>
      <c r="G626" s="12">
        <v>45296</v>
      </c>
      <c r="H626" s="12">
        <v>45648</v>
      </c>
      <c r="I626">
        <f t="shared" si="9"/>
        <v>1</v>
      </c>
    </row>
    <row r="627" spans="1:9" x14ac:dyDescent="0.3">
      <c r="A627" s="11">
        <v>70060</v>
      </c>
      <c r="B627" s="11" t="s">
        <v>26</v>
      </c>
      <c r="C627" s="11" t="s">
        <v>57</v>
      </c>
      <c r="D627" s="11">
        <v>404.9</v>
      </c>
      <c r="E627" s="11">
        <v>39</v>
      </c>
      <c r="F627" s="11">
        <v>15791.1</v>
      </c>
      <c r="G627" s="12">
        <v>45515</v>
      </c>
      <c r="H627" s="12">
        <v>45121</v>
      </c>
      <c r="I627" t="e">
        <f t="shared" si="9"/>
        <v>#NUM!</v>
      </c>
    </row>
    <row r="628" spans="1:9" x14ac:dyDescent="0.3">
      <c r="A628" s="11">
        <v>30901</v>
      </c>
      <c r="B628" s="11" t="s">
        <v>8</v>
      </c>
      <c r="C628" s="11" t="s">
        <v>77</v>
      </c>
      <c r="D628" s="11">
        <v>761.92</v>
      </c>
      <c r="E628" s="11">
        <v>40</v>
      </c>
      <c r="F628" s="11">
        <v>30476.799999999999</v>
      </c>
      <c r="G628" s="12">
        <v>45091</v>
      </c>
      <c r="H628" s="12">
        <v>45209</v>
      </c>
      <c r="I628">
        <f t="shared" si="9"/>
        <v>1</v>
      </c>
    </row>
    <row r="629" spans="1:9" x14ac:dyDescent="0.3">
      <c r="A629" s="11">
        <v>99355</v>
      </c>
      <c r="B629" s="11" t="s">
        <v>10</v>
      </c>
      <c r="C629" s="11" t="s">
        <v>51</v>
      </c>
      <c r="D629" s="11">
        <v>533.15</v>
      </c>
      <c r="E629" s="11">
        <v>27</v>
      </c>
      <c r="F629" s="11">
        <v>14395.05</v>
      </c>
      <c r="G629" s="12">
        <v>45165</v>
      </c>
      <c r="H629" s="12">
        <v>45653</v>
      </c>
      <c r="I629">
        <f t="shared" si="9"/>
        <v>1</v>
      </c>
    </row>
    <row r="630" spans="1:9" x14ac:dyDescent="0.3">
      <c r="A630" s="11">
        <v>15042</v>
      </c>
      <c r="B630" s="11" t="s">
        <v>21</v>
      </c>
      <c r="C630" s="11" t="s">
        <v>73</v>
      </c>
      <c r="D630" s="11">
        <v>890.84</v>
      </c>
      <c r="E630" s="11">
        <v>3</v>
      </c>
      <c r="F630" s="11">
        <v>2672.52</v>
      </c>
      <c r="G630" s="12">
        <v>45493</v>
      </c>
      <c r="H630" s="12">
        <v>45117</v>
      </c>
      <c r="I630" t="e">
        <f t="shared" si="9"/>
        <v>#NUM!</v>
      </c>
    </row>
    <row r="631" spans="1:9" x14ac:dyDescent="0.3">
      <c r="A631" s="11">
        <v>83870</v>
      </c>
      <c r="B631" s="11" t="s">
        <v>12</v>
      </c>
      <c r="C631" s="11" t="s">
        <v>30</v>
      </c>
      <c r="D631" s="11">
        <v>68.05</v>
      </c>
      <c r="E631" s="11">
        <v>38</v>
      </c>
      <c r="F631" s="11">
        <v>2585.9</v>
      </c>
      <c r="G631" s="12">
        <v>45614</v>
      </c>
      <c r="H631" s="12">
        <v>45144</v>
      </c>
      <c r="I631" t="e">
        <f t="shared" si="9"/>
        <v>#NUM!</v>
      </c>
    </row>
    <row r="632" spans="1:9" x14ac:dyDescent="0.3">
      <c r="A632" s="11">
        <v>26689</v>
      </c>
      <c r="B632" s="11" t="s">
        <v>27</v>
      </c>
      <c r="C632" s="11" t="s">
        <v>72</v>
      </c>
      <c r="D632" s="11">
        <v>913.18</v>
      </c>
      <c r="E632" s="11">
        <v>7</v>
      </c>
      <c r="F632" s="11">
        <v>6392.26</v>
      </c>
      <c r="G632" s="12">
        <v>45402</v>
      </c>
      <c r="H632" s="12">
        <v>45557</v>
      </c>
      <c r="I632">
        <f t="shared" si="9"/>
        <v>1</v>
      </c>
    </row>
    <row r="633" spans="1:9" x14ac:dyDescent="0.3">
      <c r="A633" s="11">
        <v>48494</v>
      </c>
      <c r="B633" s="11" t="s">
        <v>23</v>
      </c>
      <c r="C633" s="11" t="s">
        <v>49</v>
      </c>
      <c r="D633" s="11">
        <v>534.77</v>
      </c>
      <c r="E633" s="11">
        <v>37</v>
      </c>
      <c r="F633" s="11">
        <v>19786.490000000002</v>
      </c>
      <c r="G633" s="12">
        <v>45082</v>
      </c>
      <c r="H633" s="12">
        <v>45176</v>
      </c>
      <c r="I633">
        <f t="shared" si="9"/>
        <v>1</v>
      </c>
    </row>
    <row r="634" spans="1:9" x14ac:dyDescent="0.3">
      <c r="A634" s="11">
        <v>46602</v>
      </c>
      <c r="B634" s="11" t="s">
        <v>13</v>
      </c>
      <c r="C634" s="11" t="s">
        <v>66</v>
      </c>
      <c r="D634" s="11">
        <v>45.72</v>
      </c>
      <c r="E634" s="11">
        <v>19</v>
      </c>
      <c r="F634" s="11">
        <v>868.68</v>
      </c>
      <c r="G634" s="12">
        <v>45430</v>
      </c>
      <c r="H634" s="12">
        <v>45557</v>
      </c>
      <c r="I634">
        <f t="shared" si="9"/>
        <v>1</v>
      </c>
    </row>
    <row r="635" spans="1:9" x14ac:dyDescent="0.3">
      <c r="A635" s="11">
        <v>30025</v>
      </c>
      <c r="B635" s="11" t="s">
        <v>26</v>
      </c>
      <c r="C635" s="11" t="s">
        <v>67</v>
      </c>
      <c r="D635" s="11">
        <v>402.36</v>
      </c>
      <c r="E635" s="11">
        <v>17</v>
      </c>
      <c r="F635" s="11">
        <v>6840.12</v>
      </c>
      <c r="G635" s="12">
        <v>45256</v>
      </c>
      <c r="H635" s="12">
        <v>45334</v>
      </c>
      <c r="I635">
        <f t="shared" si="9"/>
        <v>1</v>
      </c>
    </row>
    <row r="636" spans="1:9" x14ac:dyDescent="0.3">
      <c r="A636" s="11">
        <v>88946</v>
      </c>
      <c r="B636" s="11" t="s">
        <v>17</v>
      </c>
      <c r="C636" s="11" t="s">
        <v>65</v>
      </c>
      <c r="D636" s="11">
        <v>753.12</v>
      </c>
      <c r="E636" s="11">
        <v>33</v>
      </c>
      <c r="F636" s="11">
        <v>24852.959999999999</v>
      </c>
      <c r="G636" s="12">
        <v>45264</v>
      </c>
      <c r="H636" s="12">
        <v>45275</v>
      </c>
      <c r="I636">
        <f t="shared" si="9"/>
        <v>0</v>
      </c>
    </row>
    <row r="637" spans="1:9" x14ac:dyDescent="0.3">
      <c r="A637" s="11">
        <v>77195</v>
      </c>
      <c r="B637" s="11" t="s">
        <v>25</v>
      </c>
      <c r="C637" s="11" t="s">
        <v>58</v>
      </c>
      <c r="D637" s="11">
        <v>988.73</v>
      </c>
      <c r="E637" s="11">
        <v>43</v>
      </c>
      <c r="F637" s="11">
        <v>42515.39</v>
      </c>
      <c r="G637" s="12">
        <v>45040</v>
      </c>
      <c r="H637" s="12">
        <v>45466</v>
      </c>
      <c r="I637">
        <f t="shared" si="9"/>
        <v>1</v>
      </c>
    </row>
    <row r="638" spans="1:9" x14ac:dyDescent="0.3">
      <c r="A638" s="11">
        <v>98351</v>
      </c>
      <c r="B638" s="11" t="s">
        <v>9</v>
      </c>
      <c r="C638" s="11" t="s">
        <v>34</v>
      </c>
      <c r="D638" s="11">
        <v>222.47</v>
      </c>
      <c r="E638" s="11">
        <v>13</v>
      </c>
      <c r="F638" s="11">
        <v>2892.11</v>
      </c>
      <c r="G638" s="12">
        <v>45409</v>
      </c>
      <c r="H638" s="12">
        <v>44959</v>
      </c>
      <c r="I638" t="e">
        <f t="shared" si="9"/>
        <v>#NUM!</v>
      </c>
    </row>
    <row r="639" spans="1:9" x14ac:dyDescent="0.3">
      <c r="A639" s="11">
        <v>54045</v>
      </c>
      <c r="B639" s="11" t="s">
        <v>25</v>
      </c>
      <c r="C639" s="11" t="s">
        <v>38</v>
      </c>
      <c r="D639" s="11">
        <v>233.83</v>
      </c>
      <c r="E639" s="11">
        <v>29</v>
      </c>
      <c r="F639" s="11">
        <v>6781.07</v>
      </c>
      <c r="G639" s="12">
        <v>45077</v>
      </c>
      <c r="H639" s="12">
        <v>45319</v>
      </c>
      <c r="I639">
        <f t="shared" si="9"/>
        <v>1</v>
      </c>
    </row>
    <row r="640" spans="1:9" x14ac:dyDescent="0.3">
      <c r="A640" s="11">
        <v>65808</v>
      </c>
      <c r="B640" s="11" t="s">
        <v>26</v>
      </c>
      <c r="C640" s="11" t="s">
        <v>34</v>
      </c>
      <c r="D640" s="11">
        <v>222.47</v>
      </c>
      <c r="E640" s="11">
        <v>29</v>
      </c>
      <c r="F640" s="11">
        <v>6451.63</v>
      </c>
      <c r="G640" s="12">
        <v>45395</v>
      </c>
      <c r="H640" s="12">
        <v>45494</v>
      </c>
      <c r="I640">
        <f t="shared" si="9"/>
        <v>1</v>
      </c>
    </row>
    <row r="641" spans="1:9" x14ac:dyDescent="0.3">
      <c r="A641" s="11">
        <v>84286</v>
      </c>
      <c r="B641" s="11" t="s">
        <v>22</v>
      </c>
      <c r="C641" s="11" t="s">
        <v>69</v>
      </c>
      <c r="D641" s="11">
        <v>158.66999999999999</v>
      </c>
      <c r="E641" s="11">
        <v>3</v>
      </c>
      <c r="F641" s="11">
        <v>476.01</v>
      </c>
      <c r="G641" s="12">
        <v>45245</v>
      </c>
      <c r="H641" s="12">
        <v>45470</v>
      </c>
      <c r="I641">
        <f t="shared" si="9"/>
        <v>1</v>
      </c>
    </row>
    <row r="642" spans="1:9" x14ac:dyDescent="0.3">
      <c r="A642" s="11">
        <v>15068</v>
      </c>
      <c r="B642" s="11" t="s">
        <v>26</v>
      </c>
      <c r="C642" s="11" t="s">
        <v>31</v>
      </c>
      <c r="D642" s="11">
        <v>449.74</v>
      </c>
      <c r="E642" s="11">
        <v>44</v>
      </c>
      <c r="F642" s="11">
        <v>19788.560000000001</v>
      </c>
      <c r="G642" s="12">
        <v>45495</v>
      </c>
      <c r="H642" s="12">
        <v>45221</v>
      </c>
      <c r="I642" t="e">
        <f t="shared" si="9"/>
        <v>#NUM!</v>
      </c>
    </row>
    <row r="643" spans="1:9" x14ac:dyDescent="0.3">
      <c r="A643" s="11">
        <v>19121</v>
      </c>
      <c r="B643" s="11" t="s">
        <v>21</v>
      </c>
      <c r="C643" s="11" t="s">
        <v>72</v>
      </c>
      <c r="D643" s="11">
        <v>913.18</v>
      </c>
      <c r="E643" s="11">
        <v>8</v>
      </c>
      <c r="F643" s="11">
        <v>7305.44</v>
      </c>
      <c r="G643" s="12">
        <v>44995</v>
      </c>
      <c r="H643" s="12">
        <v>45461</v>
      </c>
      <c r="I643">
        <f t="shared" ref="I643:I706" si="10">IF(DATEDIF(G643,H643,"d") &gt; 15,1,0)</f>
        <v>1</v>
      </c>
    </row>
    <row r="644" spans="1:9" x14ac:dyDescent="0.3">
      <c r="A644" s="11">
        <v>59405</v>
      </c>
      <c r="B644" s="11" t="s">
        <v>23</v>
      </c>
      <c r="C644" s="11" t="s">
        <v>39</v>
      </c>
      <c r="D644" s="11">
        <v>988.47</v>
      </c>
      <c r="E644" s="11">
        <v>24</v>
      </c>
      <c r="F644" s="11">
        <v>23723.279999999999</v>
      </c>
      <c r="G644" s="12">
        <v>45605</v>
      </c>
      <c r="H644" s="12">
        <v>45427</v>
      </c>
      <c r="I644" t="e">
        <f t="shared" si="10"/>
        <v>#NUM!</v>
      </c>
    </row>
    <row r="645" spans="1:9" x14ac:dyDescent="0.3">
      <c r="A645" s="11">
        <v>21030</v>
      </c>
      <c r="B645" s="11" t="s">
        <v>26</v>
      </c>
      <c r="C645" s="11" t="s">
        <v>29</v>
      </c>
      <c r="D645" s="11">
        <v>683.98</v>
      </c>
      <c r="E645" s="11">
        <v>22</v>
      </c>
      <c r="F645" s="11">
        <v>15047.56</v>
      </c>
      <c r="G645" s="12">
        <v>44984</v>
      </c>
      <c r="H645" s="12">
        <v>44947</v>
      </c>
      <c r="I645" t="e">
        <f t="shared" si="10"/>
        <v>#NUM!</v>
      </c>
    </row>
    <row r="646" spans="1:9" x14ac:dyDescent="0.3">
      <c r="A646" s="11">
        <v>49352</v>
      </c>
      <c r="B646" s="11" t="s">
        <v>14</v>
      </c>
      <c r="C646" s="11" t="s">
        <v>68</v>
      </c>
      <c r="D646" s="11">
        <v>795.19</v>
      </c>
      <c r="E646" s="11">
        <v>2</v>
      </c>
      <c r="F646" s="11">
        <v>1590.38</v>
      </c>
      <c r="G646" s="12">
        <v>45289</v>
      </c>
      <c r="H646" s="12">
        <v>45568</v>
      </c>
      <c r="I646">
        <f t="shared" si="10"/>
        <v>1</v>
      </c>
    </row>
    <row r="647" spans="1:9" x14ac:dyDescent="0.3">
      <c r="A647" s="11">
        <v>41287</v>
      </c>
      <c r="B647" s="11" t="s">
        <v>12</v>
      </c>
      <c r="C647" s="11" t="s">
        <v>77</v>
      </c>
      <c r="D647" s="11">
        <v>761.92</v>
      </c>
      <c r="E647" s="11">
        <v>11</v>
      </c>
      <c r="F647" s="11">
        <v>8381.1200000000008</v>
      </c>
      <c r="G647" s="12">
        <v>45105</v>
      </c>
      <c r="H647" s="12">
        <v>45455</v>
      </c>
      <c r="I647">
        <f t="shared" si="10"/>
        <v>1</v>
      </c>
    </row>
    <row r="648" spans="1:9" x14ac:dyDescent="0.3">
      <c r="A648" s="11">
        <v>64024</v>
      </c>
      <c r="B648" s="11" t="s">
        <v>22</v>
      </c>
      <c r="C648" s="11" t="s">
        <v>28</v>
      </c>
      <c r="D648" s="11">
        <v>855.99</v>
      </c>
      <c r="E648" s="11">
        <v>45</v>
      </c>
      <c r="F648" s="11">
        <v>38519.550000000003</v>
      </c>
      <c r="G648" s="12">
        <v>45411</v>
      </c>
      <c r="H648" s="12">
        <v>45059</v>
      </c>
      <c r="I648" t="e">
        <f t="shared" si="10"/>
        <v>#NUM!</v>
      </c>
    </row>
    <row r="649" spans="1:9" x14ac:dyDescent="0.3">
      <c r="A649" s="11">
        <v>22739</v>
      </c>
      <c r="B649" s="11" t="s">
        <v>27</v>
      </c>
      <c r="C649" s="11" t="s">
        <v>43</v>
      </c>
      <c r="D649" s="11">
        <v>608.37</v>
      </c>
      <c r="E649" s="11">
        <v>34</v>
      </c>
      <c r="F649" s="11">
        <v>20684.580000000002</v>
      </c>
      <c r="G649" s="12">
        <v>45279</v>
      </c>
      <c r="H649" s="12">
        <v>45535</v>
      </c>
      <c r="I649">
        <f t="shared" si="10"/>
        <v>1</v>
      </c>
    </row>
    <row r="650" spans="1:9" x14ac:dyDescent="0.3">
      <c r="A650" s="11">
        <v>92187</v>
      </c>
      <c r="B650" s="11" t="s">
        <v>19</v>
      </c>
      <c r="C650" s="11" t="s">
        <v>63</v>
      </c>
      <c r="D650" s="11">
        <v>611.66</v>
      </c>
      <c r="E650" s="11">
        <v>47</v>
      </c>
      <c r="F650" s="11">
        <v>28748.02</v>
      </c>
      <c r="G650" s="12">
        <v>45247</v>
      </c>
      <c r="H650" s="12">
        <v>45629</v>
      </c>
      <c r="I650">
        <f t="shared" si="10"/>
        <v>1</v>
      </c>
    </row>
    <row r="651" spans="1:9" x14ac:dyDescent="0.3">
      <c r="A651" s="11">
        <v>29811</v>
      </c>
      <c r="B651" s="11" t="s">
        <v>20</v>
      </c>
      <c r="C651" s="11" t="s">
        <v>52</v>
      </c>
      <c r="D651" s="11">
        <v>323.73</v>
      </c>
      <c r="E651" s="11">
        <v>40</v>
      </c>
      <c r="F651" s="11">
        <v>12949.2</v>
      </c>
      <c r="G651" s="12">
        <v>45150</v>
      </c>
      <c r="H651" s="12">
        <v>45101</v>
      </c>
      <c r="I651" t="e">
        <f t="shared" si="10"/>
        <v>#NUM!</v>
      </c>
    </row>
    <row r="652" spans="1:9" x14ac:dyDescent="0.3">
      <c r="A652" s="11">
        <v>62850</v>
      </c>
      <c r="B652" s="11" t="s">
        <v>18</v>
      </c>
      <c r="C652" s="11" t="s">
        <v>38</v>
      </c>
      <c r="D652" s="11">
        <v>233.83</v>
      </c>
      <c r="E652" s="11">
        <v>9</v>
      </c>
      <c r="F652" s="11">
        <v>2104.4699999999998</v>
      </c>
      <c r="G652" s="12">
        <v>45582</v>
      </c>
      <c r="H652" s="12">
        <v>44973</v>
      </c>
      <c r="I652" t="e">
        <f t="shared" si="10"/>
        <v>#NUM!</v>
      </c>
    </row>
    <row r="653" spans="1:9" x14ac:dyDescent="0.3">
      <c r="A653" s="11">
        <v>51702</v>
      </c>
      <c r="B653" s="11" t="s">
        <v>13</v>
      </c>
      <c r="C653" s="11" t="s">
        <v>43</v>
      </c>
      <c r="D653" s="11">
        <v>608.37</v>
      </c>
      <c r="E653" s="11">
        <v>11</v>
      </c>
      <c r="F653" s="11">
        <v>6692.07</v>
      </c>
      <c r="G653" s="12">
        <v>45617</v>
      </c>
      <c r="H653" s="12">
        <v>45122</v>
      </c>
      <c r="I653" t="e">
        <f t="shared" si="10"/>
        <v>#NUM!</v>
      </c>
    </row>
    <row r="654" spans="1:9" x14ac:dyDescent="0.3">
      <c r="A654" s="11">
        <v>74350</v>
      </c>
      <c r="B654" s="11" t="s">
        <v>16</v>
      </c>
      <c r="C654" s="11" t="s">
        <v>52</v>
      </c>
      <c r="D654" s="11">
        <v>323.73</v>
      </c>
      <c r="E654" s="11">
        <v>23</v>
      </c>
      <c r="F654" s="11">
        <v>7445.79</v>
      </c>
      <c r="G654" s="12">
        <v>45368</v>
      </c>
      <c r="H654" s="12">
        <v>45456</v>
      </c>
      <c r="I654">
        <f t="shared" si="10"/>
        <v>1</v>
      </c>
    </row>
    <row r="655" spans="1:9" x14ac:dyDescent="0.3">
      <c r="A655" s="11">
        <v>70806</v>
      </c>
      <c r="B655" s="11" t="s">
        <v>22</v>
      </c>
      <c r="C655" s="11" t="s">
        <v>33</v>
      </c>
      <c r="D655" s="11">
        <v>622.16</v>
      </c>
      <c r="E655" s="11">
        <v>44</v>
      </c>
      <c r="F655" s="11">
        <v>27375.040000000001</v>
      </c>
      <c r="G655" s="12">
        <v>45318</v>
      </c>
      <c r="H655" s="12">
        <v>45262</v>
      </c>
      <c r="I655" t="e">
        <f t="shared" si="10"/>
        <v>#NUM!</v>
      </c>
    </row>
    <row r="656" spans="1:9" x14ac:dyDescent="0.3">
      <c r="A656" s="11">
        <v>20114</v>
      </c>
      <c r="B656" s="11" t="s">
        <v>19</v>
      </c>
      <c r="C656" s="11" t="s">
        <v>50</v>
      </c>
      <c r="D656" s="11">
        <v>468.95</v>
      </c>
      <c r="E656" s="11">
        <v>18</v>
      </c>
      <c r="F656" s="11">
        <v>8441.1</v>
      </c>
      <c r="G656" s="12">
        <v>45568</v>
      </c>
      <c r="H656" s="12">
        <v>45294</v>
      </c>
      <c r="I656" t="e">
        <f t="shared" si="10"/>
        <v>#NUM!</v>
      </c>
    </row>
    <row r="657" spans="1:9" x14ac:dyDescent="0.3">
      <c r="A657" s="11">
        <v>13617</v>
      </c>
      <c r="B657" s="11" t="s">
        <v>12</v>
      </c>
      <c r="C657" s="11" t="s">
        <v>59</v>
      </c>
      <c r="D657" s="11">
        <v>346.37</v>
      </c>
      <c r="E657" s="11">
        <v>13</v>
      </c>
      <c r="F657" s="11">
        <v>4502.8100000000004</v>
      </c>
      <c r="G657" s="12">
        <v>45452</v>
      </c>
      <c r="H657" s="12">
        <v>45381</v>
      </c>
      <c r="I657" t="e">
        <f t="shared" si="10"/>
        <v>#NUM!</v>
      </c>
    </row>
    <row r="658" spans="1:9" x14ac:dyDescent="0.3">
      <c r="A658" s="11">
        <v>58180</v>
      </c>
      <c r="B658" s="11" t="s">
        <v>21</v>
      </c>
      <c r="C658" s="11" t="s">
        <v>32</v>
      </c>
      <c r="D658" s="11">
        <v>546.64</v>
      </c>
      <c r="E658" s="11">
        <v>27</v>
      </c>
      <c r="F658" s="11">
        <v>14759.28</v>
      </c>
      <c r="G658" s="12">
        <v>45241</v>
      </c>
      <c r="H658" s="12">
        <v>45344</v>
      </c>
      <c r="I658">
        <f t="shared" si="10"/>
        <v>1</v>
      </c>
    </row>
    <row r="659" spans="1:9" x14ac:dyDescent="0.3">
      <c r="A659" s="11">
        <v>58942</v>
      </c>
      <c r="B659" s="11" t="s">
        <v>14</v>
      </c>
      <c r="C659" s="11" t="s">
        <v>44</v>
      </c>
      <c r="D659" s="11">
        <v>654.4</v>
      </c>
      <c r="E659" s="11">
        <v>8</v>
      </c>
      <c r="F659" s="11">
        <v>5235.2</v>
      </c>
      <c r="G659" s="12">
        <v>45338</v>
      </c>
      <c r="H659" s="12">
        <v>45104</v>
      </c>
      <c r="I659" t="e">
        <f t="shared" si="10"/>
        <v>#NUM!</v>
      </c>
    </row>
    <row r="660" spans="1:9" x14ac:dyDescent="0.3">
      <c r="A660" s="11">
        <v>20372</v>
      </c>
      <c r="B660" s="11" t="s">
        <v>8</v>
      </c>
      <c r="C660" s="11" t="s">
        <v>39</v>
      </c>
      <c r="D660" s="11">
        <v>988.47</v>
      </c>
      <c r="E660" s="11">
        <v>29</v>
      </c>
      <c r="F660" s="11">
        <v>28665.63</v>
      </c>
      <c r="G660" s="12">
        <v>45277</v>
      </c>
      <c r="H660" s="12">
        <v>45337</v>
      </c>
      <c r="I660">
        <f t="shared" si="10"/>
        <v>1</v>
      </c>
    </row>
    <row r="661" spans="1:9" x14ac:dyDescent="0.3">
      <c r="A661" s="11">
        <v>27339</v>
      </c>
      <c r="B661" s="11" t="s">
        <v>18</v>
      </c>
      <c r="C661" s="11" t="s">
        <v>47</v>
      </c>
      <c r="D661" s="11">
        <v>682.74</v>
      </c>
      <c r="E661" s="11">
        <v>22</v>
      </c>
      <c r="F661" s="11">
        <v>15020.28</v>
      </c>
      <c r="G661" s="12">
        <v>45350</v>
      </c>
      <c r="H661" s="12">
        <v>45315</v>
      </c>
      <c r="I661" t="e">
        <f t="shared" si="10"/>
        <v>#NUM!</v>
      </c>
    </row>
    <row r="662" spans="1:9" x14ac:dyDescent="0.3">
      <c r="A662" s="11">
        <v>33745</v>
      </c>
      <c r="B662" s="11" t="s">
        <v>12</v>
      </c>
      <c r="C662" s="11" t="s">
        <v>45</v>
      </c>
      <c r="D662" s="11">
        <v>366.3</v>
      </c>
      <c r="E662" s="11">
        <v>30</v>
      </c>
      <c r="F662" s="11">
        <v>10989</v>
      </c>
      <c r="G662" s="12">
        <v>45047</v>
      </c>
      <c r="H662" s="12">
        <v>45623</v>
      </c>
      <c r="I662">
        <f t="shared" si="10"/>
        <v>1</v>
      </c>
    </row>
    <row r="663" spans="1:9" x14ac:dyDescent="0.3">
      <c r="A663" s="11">
        <v>58350</v>
      </c>
      <c r="B663" s="11" t="s">
        <v>11</v>
      </c>
      <c r="C663" s="11" t="s">
        <v>30</v>
      </c>
      <c r="D663" s="11">
        <v>68.05</v>
      </c>
      <c r="E663" s="11">
        <v>28</v>
      </c>
      <c r="F663" s="11">
        <v>1905.4</v>
      </c>
      <c r="G663" s="12">
        <v>45470</v>
      </c>
      <c r="H663" s="12">
        <v>45164</v>
      </c>
      <c r="I663" t="e">
        <f t="shared" si="10"/>
        <v>#NUM!</v>
      </c>
    </row>
    <row r="664" spans="1:9" x14ac:dyDescent="0.3">
      <c r="A664" s="11">
        <v>96331</v>
      </c>
      <c r="B664" s="11" t="s">
        <v>20</v>
      </c>
      <c r="C664" s="11" t="s">
        <v>71</v>
      </c>
      <c r="D664" s="11">
        <v>870.6</v>
      </c>
      <c r="E664" s="11">
        <v>31</v>
      </c>
      <c r="F664" s="11">
        <v>26988.6</v>
      </c>
      <c r="G664" s="12">
        <v>45103</v>
      </c>
      <c r="H664" s="12">
        <v>45024</v>
      </c>
      <c r="I664" t="e">
        <f t="shared" si="10"/>
        <v>#NUM!</v>
      </c>
    </row>
    <row r="665" spans="1:9" x14ac:dyDescent="0.3">
      <c r="A665" s="11">
        <v>49065</v>
      </c>
      <c r="B665" s="11" t="s">
        <v>22</v>
      </c>
      <c r="C665" s="11" t="s">
        <v>76</v>
      </c>
      <c r="D665" s="11">
        <v>95.12</v>
      </c>
      <c r="E665" s="11">
        <v>17</v>
      </c>
      <c r="F665" s="11">
        <v>1617.04</v>
      </c>
      <c r="G665" s="12">
        <v>45273</v>
      </c>
      <c r="H665" s="12">
        <v>45304</v>
      </c>
      <c r="I665">
        <f t="shared" si="10"/>
        <v>1</v>
      </c>
    </row>
    <row r="666" spans="1:9" x14ac:dyDescent="0.3">
      <c r="A666" s="11">
        <v>45773</v>
      </c>
      <c r="B666" s="11" t="s">
        <v>27</v>
      </c>
      <c r="C666" s="11" t="s">
        <v>43</v>
      </c>
      <c r="D666" s="11">
        <v>608.37</v>
      </c>
      <c r="E666" s="11">
        <v>36</v>
      </c>
      <c r="F666" s="11">
        <v>21901.32</v>
      </c>
      <c r="G666" s="12">
        <v>45402</v>
      </c>
      <c r="H666" s="12">
        <v>45236</v>
      </c>
      <c r="I666" t="e">
        <f t="shared" si="10"/>
        <v>#NUM!</v>
      </c>
    </row>
    <row r="667" spans="1:9" x14ac:dyDescent="0.3">
      <c r="A667" s="11">
        <v>81667</v>
      </c>
      <c r="B667" s="11" t="s">
        <v>21</v>
      </c>
      <c r="C667" s="11" t="s">
        <v>49</v>
      </c>
      <c r="D667" s="11">
        <v>534.77</v>
      </c>
      <c r="E667" s="11">
        <v>27</v>
      </c>
      <c r="F667" s="11">
        <v>14438.79</v>
      </c>
      <c r="G667" s="12">
        <v>45468</v>
      </c>
      <c r="H667" s="12">
        <v>45321</v>
      </c>
      <c r="I667" t="e">
        <f t="shared" si="10"/>
        <v>#NUM!</v>
      </c>
    </row>
    <row r="668" spans="1:9" x14ac:dyDescent="0.3">
      <c r="A668" s="11">
        <v>53978</v>
      </c>
      <c r="B668" s="11" t="s">
        <v>24</v>
      </c>
      <c r="C668" s="11" t="s">
        <v>36</v>
      </c>
      <c r="D668" s="11">
        <v>596.97</v>
      </c>
      <c r="E668" s="11">
        <v>18</v>
      </c>
      <c r="F668" s="11">
        <v>10745.46</v>
      </c>
      <c r="G668" s="12">
        <v>45139</v>
      </c>
      <c r="H668" s="12">
        <v>45497</v>
      </c>
      <c r="I668">
        <f t="shared" si="10"/>
        <v>1</v>
      </c>
    </row>
    <row r="669" spans="1:9" x14ac:dyDescent="0.3">
      <c r="A669" s="11">
        <v>32418</v>
      </c>
      <c r="B669" s="11" t="s">
        <v>19</v>
      </c>
      <c r="C669" s="11" t="s">
        <v>36</v>
      </c>
      <c r="D669" s="11">
        <v>596.97</v>
      </c>
      <c r="E669" s="11">
        <v>42</v>
      </c>
      <c r="F669" s="11">
        <v>25072.74</v>
      </c>
      <c r="G669" s="12">
        <v>45149</v>
      </c>
      <c r="H669" s="12">
        <v>45486</v>
      </c>
      <c r="I669">
        <f t="shared" si="10"/>
        <v>1</v>
      </c>
    </row>
    <row r="670" spans="1:9" x14ac:dyDescent="0.3">
      <c r="A670" s="11">
        <v>40043</v>
      </c>
      <c r="B670" s="11" t="s">
        <v>24</v>
      </c>
      <c r="C670" s="11" t="s">
        <v>60</v>
      </c>
      <c r="D670" s="11">
        <v>184.57</v>
      </c>
      <c r="E670" s="11">
        <v>48</v>
      </c>
      <c r="F670" s="11">
        <v>8859.36</v>
      </c>
      <c r="G670" s="12">
        <v>45013</v>
      </c>
      <c r="H670" s="12">
        <v>45577</v>
      </c>
      <c r="I670">
        <f t="shared" si="10"/>
        <v>1</v>
      </c>
    </row>
    <row r="671" spans="1:9" x14ac:dyDescent="0.3">
      <c r="A671" s="11">
        <v>94719</v>
      </c>
      <c r="B671" s="11" t="s">
        <v>11</v>
      </c>
      <c r="C671" s="11" t="s">
        <v>52</v>
      </c>
      <c r="D671" s="11">
        <v>323.73</v>
      </c>
      <c r="E671" s="11">
        <v>11</v>
      </c>
      <c r="F671" s="11">
        <v>3561.03</v>
      </c>
      <c r="G671" s="12">
        <v>45264</v>
      </c>
      <c r="H671" s="12">
        <v>45202</v>
      </c>
      <c r="I671" t="e">
        <f t="shared" si="10"/>
        <v>#NUM!</v>
      </c>
    </row>
    <row r="672" spans="1:9" x14ac:dyDescent="0.3">
      <c r="A672" s="11">
        <v>56906</v>
      </c>
      <c r="B672" s="11" t="s">
        <v>24</v>
      </c>
      <c r="C672" s="11" t="s">
        <v>52</v>
      </c>
      <c r="D672" s="11">
        <v>323.73</v>
      </c>
      <c r="E672" s="11">
        <v>12</v>
      </c>
      <c r="F672" s="11">
        <v>3884.76</v>
      </c>
      <c r="G672" s="12">
        <v>45144</v>
      </c>
      <c r="H672" s="12">
        <v>45294</v>
      </c>
      <c r="I672">
        <f t="shared" si="10"/>
        <v>1</v>
      </c>
    </row>
    <row r="673" spans="1:9" x14ac:dyDescent="0.3">
      <c r="A673" s="11">
        <v>45322</v>
      </c>
      <c r="B673" s="11" t="s">
        <v>17</v>
      </c>
      <c r="C673" s="11" t="s">
        <v>29</v>
      </c>
      <c r="D673" s="11">
        <v>683.98</v>
      </c>
      <c r="E673" s="11">
        <v>20</v>
      </c>
      <c r="F673" s="11">
        <v>13679.6</v>
      </c>
      <c r="G673" s="12">
        <v>45409</v>
      </c>
      <c r="H673" s="12">
        <v>45244</v>
      </c>
      <c r="I673" t="e">
        <f t="shared" si="10"/>
        <v>#NUM!</v>
      </c>
    </row>
    <row r="674" spans="1:9" x14ac:dyDescent="0.3">
      <c r="A674" s="11">
        <v>97959</v>
      </c>
      <c r="B674" s="11" t="s">
        <v>21</v>
      </c>
      <c r="C674" s="11" t="s">
        <v>71</v>
      </c>
      <c r="D674" s="11">
        <v>870.6</v>
      </c>
      <c r="E674" s="11">
        <v>18</v>
      </c>
      <c r="F674" s="11">
        <v>15670.8</v>
      </c>
      <c r="G674" s="12">
        <v>45341</v>
      </c>
      <c r="H674" s="12">
        <v>45156</v>
      </c>
      <c r="I674" t="e">
        <f t="shared" si="10"/>
        <v>#NUM!</v>
      </c>
    </row>
    <row r="675" spans="1:9" x14ac:dyDescent="0.3">
      <c r="A675" s="11">
        <v>78096</v>
      </c>
      <c r="B675" s="11" t="s">
        <v>25</v>
      </c>
      <c r="C675" s="11" t="s">
        <v>36</v>
      </c>
      <c r="D675" s="11">
        <v>596.97</v>
      </c>
      <c r="E675" s="11">
        <v>34</v>
      </c>
      <c r="F675" s="11">
        <v>20296.98</v>
      </c>
      <c r="G675" s="12">
        <v>45436</v>
      </c>
      <c r="H675" s="12">
        <v>45177</v>
      </c>
      <c r="I675" t="e">
        <f t="shared" si="10"/>
        <v>#NUM!</v>
      </c>
    </row>
    <row r="676" spans="1:9" x14ac:dyDescent="0.3">
      <c r="A676" s="11">
        <v>65753</v>
      </c>
      <c r="B676" s="11" t="s">
        <v>9</v>
      </c>
      <c r="C676" s="11" t="s">
        <v>49</v>
      </c>
      <c r="D676" s="11">
        <v>534.77</v>
      </c>
      <c r="E676" s="11">
        <v>43</v>
      </c>
      <c r="F676" s="11">
        <v>22995.11</v>
      </c>
      <c r="G676" s="12">
        <v>45321</v>
      </c>
      <c r="H676" s="12">
        <v>45152</v>
      </c>
      <c r="I676" t="e">
        <f t="shared" si="10"/>
        <v>#NUM!</v>
      </c>
    </row>
    <row r="677" spans="1:9" x14ac:dyDescent="0.3">
      <c r="A677" s="11">
        <v>35064</v>
      </c>
      <c r="B677" s="11" t="s">
        <v>17</v>
      </c>
      <c r="C677" s="11" t="s">
        <v>70</v>
      </c>
      <c r="D677" s="11">
        <v>430.1</v>
      </c>
      <c r="E677" s="11">
        <v>4</v>
      </c>
      <c r="F677" s="11">
        <v>1720.4</v>
      </c>
      <c r="G677" s="12">
        <v>45522</v>
      </c>
      <c r="H677" s="12">
        <v>45497</v>
      </c>
      <c r="I677" t="e">
        <f t="shared" si="10"/>
        <v>#NUM!</v>
      </c>
    </row>
    <row r="678" spans="1:9" x14ac:dyDescent="0.3">
      <c r="A678" s="11">
        <v>73638</v>
      </c>
      <c r="B678" s="11" t="s">
        <v>20</v>
      </c>
      <c r="C678" s="11" t="s">
        <v>75</v>
      </c>
      <c r="D678" s="11">
        <v>325</v>
      </c>
      <c r="E678" s="11">
        <v>10</v>
      </c>
      <c r="F678" s="11">
        <v>3250</v>
      </c>
      <c r="G678" s="12">
        <v>45027</v>
      </c>
      <c r="H678" s="12">
        <v>45170</v>
      </c>
      <c r="I678">
        <f t="shared" si="10"/>
        <v>1</v>
      </c>
    </row>
    <row r="679" spans="1:9" x14ac:dyDescent="0.3">
      <c r="A679" s="11">
        <v>39629</v>
      </c>
      <c r="B679" s="11" t="s">
        <v>10</v>
      </c>
      <c r="C679" s="11" t="s">
        <v>38</v>
      </c>
      <c r="D679" s="11">
        <v>233.83</v>
      </c>
      <c r="E679" s="11">
        <v>44</v>
      </c>
      <c r="F679" s="11">
        <v>10288.52</v>
      </c>
      <c r="G679" s="12">
        <v>45421</v>
      </c>
      <c r="H679" s="12">
        <v>45197</v>
      </c>
      <c r="I679" t="e">
        <f t="shared" si="10"/>
        <v>#NUM!</v>
      </c>
    </row>
    <row r="680" spans="1:9" x14ac:dyDescent="0.3">
      <c r="A680" s="11">
        <v>84337</v>
      </c>
      <c r="B680" s="11" t="s">
        <v>16</v>
      </c>
      <c r="C680" s="11" t="s">
        <v>67</v>
      </c>
      <c r="D680" s="11">
        <v>402.36</v>
      </c>
      <c r="E680" s="11">
        <v>24</v>
      </c>
      <c r="F680" s="11">
        <v>9656.64</v>
      </c>
      <c r="G680" s="12">
        <v>45369</v>
      </c>
      <c r="H680" s="12">
        <v>44972</v>
      </c>
      <c r="I680" t="e">
        <f t="shared" si="10"/>
        <v>#NUM!</v>
      </c>
    </row>
    <row r="681" spans="1:9" x14ac:dyDescent="0.3">
      <c r="A681" s="11">
        <v>34854</v>
      </c>
      <c r="B681" s="11" t="s">
        <v>17</v>
      </c>
      <c r="C681" s="11" t="s">
        <v>50</v>
      </c>
      <c r="D681" s="11">
        <v>468.95</v>
      </c>
      <c r="E681" s="11">
        <v>4</v>
      </c>
      <c r="F681" s="11">
        <v>1875.8</v>
      </c>
      <c r="G681" s="12">
        <v>44985</v>
      </c>
      <c r="H681" s="12">
        <v>45055</v>
      </c>
      <c r="I681">
        <f t="shared" si="10"/>
        <v>1</v>
      </c>
    </row>
    <row r="682" spans="1:9" x14ac:dyDescent="0.3">
      <c r="A682" s="11">
        <v>73411</v>
      </c>
      <c r="B682" s="11" t="s">
        <v>17</v>
      </c>
      <c r="C682" s="11" t="s">
        <v>74</v>
      </c>
      <c r="D682" s="11">
        <v>346.4</v>
      </c>
      <c r="E682" s="11">
        <v>32</v>
      </c>
      <c r="F682" s="11">
        <v>11084.8</v>
      </c>
      <c r="G682" s="12">
        <v>45467</v>
      </c>
      <c r="H682" s="12">
        <v>45277</v>
      </c>
      <c r="I682" t="e">
        <f t="shared" si="10"/>
        <v>#NUM!</v>
      </c>
    </row>
    <row r="683" spans="1:9" x14ac:dyDescent="0.3">
      <c r="A683" s="11">
        <v>92046</v>
      </c>
      <c r="B683" s="11" t="s">
        <v>18</v>
      </c>
      <c r="C683" s="11" t="s">
        <v>62</v>
      </c>
      <c r="D683" s="11">
        <v>474.55</v>
      </c>
      <c r="E683" s="11">
        <v>17</v>
      </c>
      <c r="F683" s="11">
        <v>8067.35</v>
      </c>
      <c r="G683" s="12">
        <v>45640</v>
      </c>
      <c r="H683" s="12">
        <v>45597</v>
      </c>
      <c r="I683" t="e">
        <f t="shared" si="10"/>
        <v>#NUM!</v>
      </c>
    </row>
    <row r="684" spans="1:9" x14ac:dyDescent="0.3">
      <c r="A684" s="11">
        <v>82902</v>
      </c>
      <c r="B684" s="11" t="s">
        <v>24</v>
      </c>
      <c r="C684" s="11" t="s">
        <v>36</v>
      </c>
      <c r="D684" s="11">
        <v>596.97</v>
      </c>
      <c r="E684" s="11">
        <v>44</v>
      </c>
      <c r="F684" s="11">
        <v>26266.68</v>
      </c>
      <c r="G684" s="12">
        <v>45473</v>
      </c>
      <c r="H684" s="12">
        <v>45287</v>
      </c>
      <c r="I684" t="e">
        <f t="shared" si="10"/>
        <v>#NUM!</v>
      </c>
    </row>
    <row r="685" spans="1:9" x14ac:dyDescent="0.3">
      <c r="A685" s="11">
        <v>90994</v>
      </c>
      <c r="B685" s="11" t="s">
        <v>10</v>
      </c>
      <c r="C685" s="11" t="s">
        <v>70</v>
      </c>
      <c r="D685" s="11">
        <v>430.1</v>
      </c>
      <c r="E685" s="11">
        <v>29</v>
      </c>
      <c r="F685" s="11">
        <v>12472.9</v>
      </c>
      <c r="G685" s="12">
        <v>45247</v>
      </c>
      <c r="H685" s="12">
        <v>45527</v>
      </c>
      <c r="I685">
        <f t="shared" si="10"/>
        <v>1</v>
      </c>
    </row>
    <row r="686" spans="1:9" x14ac:dyDescent="0.3">
      <c r="A686" s="11">
        <v>93148</v>
      </c>
      <c r="B686" s="11" t="s">
        <v>11</v>
      </c>
      <c r="C686" s="11" t="s">
        <v>67</v>
      </c>
      <c r="D686" s="11">
        <v>402.36</v>
      </c>
      <c r="E686" s="11">
        <v>33</v>
      </c>
      <c r="F686" s="11">
        <v>13277.88</v>
      </c>
      <c r="G686" s="12">
        <v>45021</v>
      </c>
      <c r="H686" s="12">
        <v>45366</v>
      </c>
      <c r="I686">
        <f t="shared" si="10"/>
        <v>1</v>
      </c>
    </row>
    <row r="687" spans="1:9" x14ac:dyDescent="0.3">
      <c r="A687" s="11">
        <v>73554</v>
      </c>
      <c r="B687" s="11" t="s">
        <v>26</v>
      </c>
      <c r="C687" s="11" t="s">
        <v>54</v>
      </c>
      <c r="D687" s="11">
        <v>730.09</v>
      </c>
      <c r="E687" s="11">
        <v>32</v>
      </c>
      <c r="F687" s="11">
        <v>23362.880000000001</v>
      </c>
      <c r="G687" s="12">
        <v>45041</v>
      </c>
      <c r="H687" s="12">
        <v>45295</v>
      </c>
      <c r="I687">
        <f t="shared" si="10"/>
        <v>1</v>
      </c>
    </row>
    <row r="688" spans="1:9" x14ac:dyDescent="0.3">
      <c r="A688" s="11">
        <v>19720</v>
      </c>
      <c r="B688" s="11" t="s">
        <v>27</v>
      </c>
      <c r="C688" s="11" t="s">
        <v>73</v>
      </c>
      <c r="D688" s="11">
        <v>890.84</v>
      </c>
      <c r="E688" s="11">
        <v>29</v>
      </c>
      <c r="F688" s="11">
        <v>25834.36</v>
      </c>
      <c r="G688" s="12">
        <v>45278</v>
      </c>
      <c r="H688" s="12">
        <v>45023</v>
      </c>
      <c r="I688" t="e">
        <f t="shared" si="10"/>
        <v>#NUM!</v>
      </c>
    </row>
    <row r="689" spans="1:9" x14ac:dyDescent="0.3">
      <c r="A689" s="11">
        <v>45133</v>
      </c>
      <c r="B689" s="11" t="s">
        <v>10</v>
      </c>
      <c r="C689" s="11" t="s">
        <v>65</v>
      </c>
      <c r="D689" s="11">
        <v>753.12</v>
      </c>
      <c r="E689" s="11">
        <v>36</v>
      </c>
      <c r="F689" s="11">
        <v>27112.32</v>
      </c>
      <c r="G689" s="12">
        <v>45633</v>
      </c>
      <c r="H689" s="12">
        <v>45043</v>
      </c>
      <c r="I689" t="e">
        <f t="shared" si="10"/>
        <v>#NUM!</v>
      </c>
    </row>
    <row r="690" spans="1:9" x14ac:dyDescent="0.3">
      <c r="A690" s="11">
        <v>33662</v>
      </c>
      <c r="B690" s="11" t="s">
        <v>14</v>
      </c>
      <c r="C690" s="11" t="s">
        <v>29</v>
      </c>
      <c r="D690" s="11">
        <v>683.98</v>
      </c>
      <c r="E690" s="11">
        <v>37</v>
      </c>
      <c r="F690" s="11">
        <v>25307.26</v>
      </c>
      <c r="G690" s="12">
        <v>45200</v>
      </c>
      <c r="H690" s="12">
        <v>45064</v>
      </c>
      <c r="I690" t="e">
        <f t="shared" si="10"/>
        <v>#NUM!</v>
      </c>
    </row>
    <row r="691" spans="1:9" x14ac:dyDescent="0.3">
      <c r="A691" s="11">
        <v>31822</v>
      </c>
      <c r="B691" s="11" t="s">
        <v>8</v>
      </c>
      <c r="C691" s="11" t="s">
        <v>70</v>
      </c>
      <c r="D691" s="11">
        <v>430.1</v>
      </c>
      <c r="E691" s="11">
        <v>19</v>
      </c>
      <c r="F691" s="11">
        <v>8171.9</v>
      </c>
      <c r="G691" s="12">
        <v>45516</v>
      </c>
      <c r="H691" s="12">
        <v>45245</v>
      </c>
      <c r="I691" t="e">
        <f t="shared" si="10"/>
        <v>#NUM!</v>
      </c>
    </row>
    <row r="692" spans="1:9" x14ac:dyDescent="0.3">
      <c r="A692" s="11">
        <v>93866</v>
      </c>
      <c r="B692" s="11" t="s">
        <v>23</v>
      </c>
      <c r="C692" s="11" t="s">
        <v>51</v>
      </c>
      <c r="D692" s="11">
        <v>533.15</v>
      </c>
      <c r="E692" s="11">
        <v>32</v>
      </c>
      <c r="F692" s="11">
        <v>17060.8</v>
      </c>
      <c r="G692" s="12">
        <v>45654</v>
      </c>
      <c r="H692" s="12">
        <v>45297</v>
      </c>
      <c r="I692" t="e">
        <f t="shared" si="10"/>
        <v>#NUM!</v>
      </c>
    </row>
    <row r="693" spans="1:9" x14ac:dyDescent="0.3">
      <c r="A693" s="11">
        <v>23817</v>
      </c>
      <c r="B693" s="11" t="s">
        <v>16</v>
      </c>
      <c r="C693" s="11" t="s">
        <v>67</v>
      </c>
      <c r="D693" s="11">
        <v>402.36</v>
      </c>
      <c r="E693" s="11">
        <v>35</v>
      </c>
      <c r="F693" s="11">
        <v>14082.6</v>
      </c>
      <c r="G693" s="12">
        <v>45420</v>
      </c>
      <c r="H693" s="12">
        <v>45533</v>
      </c>
      <c r="I693">
        <f t="shared" si="10"/>
        <v>1</v>
      </c>
    </row>
    <row r="694" spans="1:9" x14ac:dyDescent="0.3">
      <c r="A694" s="11">
        <v>36255</v>
      </c>
      <c r="B694" s="11" t="s">
        <v>21</v>
      </c>
      <c r="C694" s="11" t="s">
        <v>41</v>
      </c>
      <c r="D694" s="11">
        <v>110.41</v>
      </c>
      <c r="E694" s="11">
        <v>21</v>
      </c>
      <c r="F694" s="11">
        <v>2318.61</v>
      </c>
      <c r="G694" s="12">
        <v>45594</v>
      </c>
      <c r="H694" s="12">
        <v>44950</v>
      </c>
      <c r="I694" t="e">
        <f t="shared" si="10"/>
        <v>#NUM!</v>
      </c>
    </row>
    <row r="695" spans="1:9" x14ac:dyDescent="0.3">
      <c r="A695" s="11">
        <v>92372</v>
      </c>
      <c r="B695" s="11" t="s">
        <v>13</v>
      </c>
      <c r="C695" s="11" t="s">
        <v>70</v>
      </c>
      <c r="D695" s="11">
        <v>430.1</v>
      </c>
      <c r="E695" s="11">
        <v>30</v>
      </c>
      <c r="F695" s="11">
        <v>12903</v>
      </c>
      <c r="G695" s="12">
        <v>45526</v>
      </c>
      <c r="H695" s="12">
        <v>45624</v>
      </c>
      <c r="I695">
        <f t="shared" si="10"/>
        <v>1</v>
      </c>
    </row>
    <row r="696" spans="1:9" x14ac:dyDescent="0.3">
      <c r="A696" s="11">
        <v>15718</v>
      </c>
      <c r="B696" s="11" t="s">
        <v>25</v>
      </c>
      <c r="C696" s="11" t="s">
        <v>65</v>
      </c>
      <c r="D696" s="11">
        <v>753.12</v>
      </c>
      <c r="E696" s="11">
        <v>16</v>
      </c>
      <c r="F696" s="11">
        <v>12049.92</v>
      </c>
      <c r="G696" s="12">
        <v>45605</v>
      </c>
      <c r="H696" s="12">
        <v>45085</v>
      </c>
      <c r="I696" t="e">
        <f t="shared" si="10"/>
        <v>#NUM!</v>
      </c>
    </row>
    <row r="697" spans="1:9" x14ac:dyDescent="0.3">
      <c r="A697" s="11">
        <v>74416</v>
      </c>
      <c r="B697" s="11" t="s">
        <v>22</v>
      </c>
      <c r="C697" s="11" t="s">
        <v>51</v>
      </c>
      <c r="D697" s="11">
        <v>533.15</v>
      </c>
      <c r="E697" s="11">
        <v>47</v>
      </c>
      <c r="F697" s="11">
        <v>25058.05</v>
      </c>
      <c r="G697" s="12">
        <v>45516</v>
      </c>
      <c r="H697" s="12">
        <v>45410</v>
      </c>
      <c r="I697" t="e">
        <f t="shared" si="10"/>
        <v>#NUM!</v>
      </c>
    </row>
    <row r="698" spans="1:9" x14ac:dyDescent="0.3">
      <c r="A698" s="11">
        <v>78749</v>
      </c>
      <c r="B698" s="11" t="s">
        <v>19</v>
      </c>
      <c r="C698" s="11" t="s">
        <v>45</v>
      </c>
      <c r="D698" s="11">
        <v>366.3</v>
      </c>
      <c r="E698" s="11">
        <v>11</v>
      </c>
      <c r="F698" s="11">
        <v>4029.3</v>
      </c>
      <c r="G698" s="12">
        <v>45101</v>
      </c>
      <c r="H698" s="12">
        <v>45456</v>
      </c>
      <c r="I698">
        <f t="shared" si="10"/>
        <v>1</v>
      </c>
    </row>
    <row r="699" spans="1:9" x14ac:dyDescent="0.3">
      <c r="A699" s="11">
        <v>30399</v>
      </c>
      <c r="B699" s="11" t="s">
        <v>24</v>
      </c>
      <c r="C699" s="11" t="s">
        <v>71</v>
      </c>
      <c r="D699" s="11">
        <v>870.6</v>
      </c>
      <c r="E699" s="11">
        <v>42</v>
      </c>
      <c r="F699" s="11">
        <v>36565.199999999997</v>
      </c>
      <c r="G699" s="12">
        <v>45249</v>
      </c>
      <c r="H699" s="12">
        <v>45301</v>
      </c>
      <c r="I699">
        <f t="shared" si="10"/>
        <v>1</v>
      </c>
    </row>
    <row r="700" spans="1:9" x14ac:dyDescent="0.3">
      <c r="A700" s="11">
        <v>59957</v>
      </c>
      <c r="B700" s="11" t="s">
        <v>19</v>
      </c>
      <c r="C700" s="11" t="s">
        <v>45</v>
      </c>
      <c r="D700" s="11">
        <v>366.3</v>
      </c>
      <c r="E700" s="11">
        <v>10</v>
      </c>
      <c r="F700" s="11">
        <v>3663</v>
      </c>
      <c r="G700" s="12">
        <v>45375</v>
      </c>
      <c r="H700" s="12">
        <v>45455</v>
      </c>
      <c r="I700">
        <f t="shared" si="10"/>
        <v>1</v>
      </c>
    </row>
    <row r="701" spans="1:9" x14ac:dyDescent="0.3">
      <c r="A701" s="11">
        <v>71311</v>
      </c>
      <c r="B701" s="11" t="s">
        <v>9</v>
      </c>
      <c r="C701" s="11" t="s">
        <v>47</v>
      </c>
      <c r="D701" s="11">
        <v>682.74</v>
      </c>
      <c r="E701" s="11">
        <v>16</v>
      </c>
      <c r="F701" s="11">
        <v>10923.84</v>
      </c>
      <c r="G701" s="12">
        <v>45194</v>
      </c>
      <c r="H701" s="12">
        <v>45272</v>
      </c>
      <c r="I701">
        <f t="shared" si="10"/>
        <v>1</v>
      </c>
    </row>
    <row r="702" spans="1:9" x14ac:dyDescent="0.3">
      <c r="A702" s="11">
        <v>80108</v>
      </c>
      <c r="B702" s="11" t="s">
        <v>15</v>
      </c>
      <c r="C702" s="11" t="s">
        <v>71</v>
      </c>
      <c r="D702" s="11">
        <v>870.6</v>
      </c>
      <c r="E702" s="11">
        <v>24</v>
      </c>
      <c r="F702" s="11">
        <v>20894.400000000001</v>
      </c>
      <c r="G702" s="12">
        <v>45426</v>
      </c>
      <c r="H702" s="12">
        <v>45320</v>
      </c>
      <c r="I702" t="e">
        <f t="shared" si="10"/>
        <v>#NUM!</v>
      </c>
    </row>
    <row r="703" spans="1:9" x14ac:dyDescent="0.3">
      <c r="A703" s="11">
        <v>86133</v>
      </c>
      <c r="B703" s="11" t="s">
        <v>25</v>
      </c>
      <c r="C703" s="11" t="s">
        <v>69</v>
      </c>
      <c r="D703" s="11">
        <v>158.66999999999999</v>
      </c>
      <c r="E703" s="11">
        <v>6</v>
      </c>
      <c r="F703" s="11">
        <v>952.02</v>
      </c>
      <c r="G703" s="12">
        <v>45242</v>
      </c>
      <c r="H703" s="12">
        <v>45104</v>
      </c>
      <c r="I703" t="e">
        <f t="shared" si="10"/>
        <v>#NUM!</v>
      </c>
    </row>
    <row r="704" spans="1:9" x14ac:dyDescent="0.3">
      <c r="A704" s="11">
        <v>26610</v>
      </c>
      <c r="B704" s="11" t="s">
        <v>11</v>
      </c>
      <c r="C704" s="11" t="s">
        <v>46</v>
      </c>
      <c r="D704" s="11">
        <v>617.33000000000004</v>
      </c>
      <c r="E704" s="11">
        <v>35</v>
      </c>
      <c r="F704" s="11">
        <v>21606.55</v>
      </c>
      <c r="G704" s="12">
        <v>45545</v>
      </c>
      <c r="H704" s="12">
        <v>45454</v>
      </c>
      <c r="I704" t="e">
        <f t="shared" si="10"/>
        <v>#NUM!</v>
      </c>
    </row>
    <row r="705" spans="1:9" x14ac:dyDescent="0.3">
      <c r="A705" s="11">
        <v>30586</v>
      </c>
      <c r="B705" s="11" t="s">
        <v>12</v>
      </c>
      <c r="C705" s="11" t="s">
        <v>74</v>
      </c>
      <c r="D705" s="11">
        <v>346.4</v>
      </c>
      <c r="E705" s="11">
        <v>26</v>
      </c>
      <c r="F705" s="11">
        <v>9006.4</v>
      </c>
      <c r="G705" s="12">
        <v>45352</v>
      </c>
      <c r="H705" s="12">
        <v>45528</v>
      </c>
      <c r="I705">
        <f t="shared" si="10"/>
        <v>1</v>
      </c>
    </row>
    <row r="706" spans="1:9" x14ac:dyDescent="0.3">
      <c r="A706" s="11">
        <v>72224</v>
      </c>
      <c r="B706" s="11" t="s">
        <v>21</v>
      </c>
      <c r="C706" s="11" t="s">
        <v>55</v>
      </c>
      <c r="D706" s="11">
        <v>399.32</v>
      </c>
      <c r="E706" s="11">
        <v>26</v>
      </c>
      <c r="F706" s="11">
        <v>10382.32</v>
      </c>
      <c r="G706" s="12">
        <v>45333</v>
      </c>
      <c r="H706" s="12">
        <v>45413</v>
      </c>
      <c r="I706">
        <f t="shared" si="10"/>
        <v>1</v>
      </c>
    </row>
    <row r="707" spans="1:9" x14ac:dyDescent="0.3">
      <c r="A707" s="11">
        <v>62523</v>
      </c>
      <c r="B707" s="11" t="s">
        <v>15</v>
      </c>
      <c r="C707" s="11" t="s">
        <v>42</v>
      </c>
      <c r="D707" s="11">
        <v>112.52</v>
      </c>
      <c r="E707" s="11">
        <v>34</v>
      </c>
      <c r="F707" s="11">
        <v>3825.68</v>
      </c>
      <c r="G707" s="12">
        <v>45092</v>
      </c>
      <c r="H707" s="12">
        <v>45005</v>
      </c>
      <c r="I707" t="e">
        <f t="shared" ref="I707:I770" si="11">IF(DATEDIF(G707,H707,"d") &gt; 15,1,0)</f>
        <v>#NUM!</v>
      </c>
    </row>
    <row r="708" spans="1:9" x14ac:dyDescent="0.3">
      <c r="A708" s="11">
        <v>29380</v>
      </c>
      <c r="B708" s="11" t="s">
        <v>26</v>
      </c>
      <c r="C708" s="11" t="s">
        <v>30</v>
      </c>
      <c r="D708" s="11">
        <v>68.05</v>
      </c>
      <c r="E708" s="11">
        <v>20</v>
      </c>
      <c r="F708" s="11">
        <v>1361</v>
      </c>
      <c r="G708" s="12">
        <v>45616</v>
      </c>
      <c r="H708" s="12">
        <v>44954</v>
      </c>
      <c r="I708" t="e">
        <f t="shared" si="11"/>
        <v>#NUM!</v>
      </c>
    </row>
    <row r="709" spans="1:9" x14ac:dyDescent="0.3">
      <c r="A709" s="11">
        <v>73435</v>
      </c>
      <c r="B709" s="11" t="s">
        <v>26</v>
      </c>
      <c r="C709" s="11" t="s">
        <v>77</v>
      </c>
      <c r="D709" s="11">
        <v>761.92</v>
      </c>
      <c r="E709" s="11">
        <v>5</v>
      </c>
      <c r="F709" s="11">
        <v>3809.6</v>
      </c>
      <c r="G709" s="12">
        <v>45143</v>
      </c>
      <c r="H709" s="12">
        <v>45176</v>
      </c>
      <c r="I709">
        <f t="shared" si="11"/>
        <v>1</v>
      </c>
    </row>
    <row r="710" spans="1:9" x14ac:dyDescent="0.3">
      <c r="A710" s="11">
        <v>77366</v>
      </c>
      <c r="B710" s="11" t="s">
        <v>9</v>
      </c>
      <c r="C710" s="11" t="s">
        <v>41</v>
      </c>
      <c r="D710" s="11">
        <v>110.41</v>
      </c>
      <c r="E710" s="11">
        <v>7</v>
      </c>
      <c r="F710" s="11">
        <v>772.87</v>
      </c>
      <c r="G710" s="12">
        <v>45486</v>
      </c>
      <c r="H710" s="12">
        <v>45232</v>
      </c>
      <c r="I710" t="e">
        <f t="shared" si="11"/>
        <v>#NUM!</v>
      </c>
    </row>
    <row r="711" spans="1:9" x14ac:dyDescent="0.3">
      <c r="A711" s="11">
        <v>30261</v>
      </c>
      <c r="B711" s="11" t="s">
        <v>22</v>
      </c>
      <c r="C711" s="11" t="s">
        <v>61</v>
      </c>
      <c r="D711" s="11">
        <v>705.68</v>
      </c>
      <c r="E711" s="11">
        <v>18</v>
      </c>
      <c r="F711" s="11">
        <v>12702.24</v>
      </c>
      <c r="G711" s="12">
        <v>45049</v>
      </c>
      <c r="H711" s="12">
        <v>45333</v>
      </c>
      <c r="I711">
        <f t="shared" si="11"/>
        <v>1</v>
      </c>
    </row>
    <row r="712" spans="1:9" x14ac:dyDescent="0.3">
      <c r="A712" s="11">
        <v>71674</v>
      </c>
      <c r="B712" s="11" t="s">
        <v>15</v>
      </c>
      <c r="C712" s="11" t="s">
        <v>55</v>
      </c>
      <c r="D712" s="11">
        <v>399.32</v>
      </c>
      <c r="E712" s="11">
        <v>50</v>
      </c>
      <c r="F712" s="11">
        <v>19966</v>
      </c>
      <c r="G712" s="12">
        <v>45421</v>
      </c>
      <c r="H712" s="12">
        <v>45580</v>
      </c>
      <c r="I712">
        <f t="shared" si="11"/>
        <v>1</v>
      </c>
    </row>
    <row r="713" spans="1:9" x14ac:dyDescent="0.3">
      <c r="A713" s="11">
        <v>47169</v>
      </c>
      <c r="B713" s="11" t="s">
        <v>10</v>
      </c>
      <c r="C713" s="11" t="s">
        <v>75</v>
      </c>
      <c r="D713" s="11">
        <v>325</v>
      </c>
      <c r="E713" s="11">
        <v>43</v>
      </c>
      <c r="F713" s="11">
        <v>13975</v>
      </c>
      <c r="G713" s="12">
        <v>45671</v>
      </c>
      <c r="H713" s="12">
        <v>45018</v>
      </c>
      <c r="I713" t="e">
        <f t="shared" si="11"/>
        <v>#NUM!</v>
      </c>
    </row>
    <row r="714" spans="1:9" x14ac:dyDescent="0.3">
      <c r="A714" s="11">
        <v>69843</v>
      </c>
      <c r="B714" s="11" t="s">
        <v>12</v>
      </c>
      <c r="C714" s="11" t="s">
        <v>45</v>
      </c>
      <c r="D714" s="11">
        <v>366.3</v>
      </c>
      <c r="E714" s="11">
        <v>1</v>
      </c>
      <c r="F714" s="11">
        <v>366.3</v>
      </c>
      <c r="G714" s="12">
        <v>45513</v>
      </c>
      <c r="H714" s="12">
        <v>45638</v>
      </c>
      <c r="I714">
        <f t="shared" si="11"/>
        <v>1</v>
      </c>
    </row>
    <row r="715" spans="1:9" x14ac:dyDescent="0.3">
      <c r="A715" s="11">
        <v>16026</v>
      </c>
      <c r="B715" s="11" t="s">
        <v>26</v>
      </c>
      <c r="C715" s="11" t="s">
        <v>64</v>
      </c>
      <c r="D715" s="11">
        <v>796.51</v>
      </c>
      <c r="E715" s="11">
        <v>46</v>
      </c>
      <c r="F715" s="11">
        <v>36639.46</v>
      </c>
      <c r="G715" s="12">
        <v>45658</v>
      </c>
      <c r="H715" s="12">
        <v>45424</v>
      </c>
      <c r="I715" t="e">
        <f t="shared" si="11"/>
        <v>#NUM!</v>
      </c>
    </row>
    <row r="716" spans="1:9" x14ac:dyDescent="0.3">
      <c r="A716" s="11">
        <v>41528</v>
      </c>
      <c r="B716" s="11" t="s">
        <v>25</v>
      </c>
      <c r="C716" s="11" t="s">
        <v>50</v>
      </c>
      <c r="D716" s="11">
        <v>468.95</v>
      </c>
      <c r="E716" s="11">
        <v>40</v>
      </c>
      <c r="F716" s="11">
        <v>18758</v>
      </c>
      <c r="G716" s="12">
        <v>45629</v>
      </c>
      <c r="H716" s="12">
        <v>45106</v>
      </c>
      <c r="I716" t="e">
        <f t="shared" si="11"/>
        <v>#NUM!</v>
      </c>
    </row>
    <row r="717" spans="1:9" x14ac:dyDescent="0.3">
      <c r="A717" s="11">
        <v>75086</v>
      </c>
      <c r="B717" s="11" t="s">
        <v>19</v>
      </c>
      <c r="C717" s="11" t="s">
        <v>44</v>
      </c>
      <c r="D717" s="11">
        <v>654.4</v>
      </c>
      <c r="E717" s="11">
        <v>32</v>
      </c>
      <c r="F717" s="11">
        <v>20940.8</v>
      </c>
      <c r="G717" s="12">
        <v>45640</v>
      </c>
      <c r="H717" s="12">
        <v>45083</v>
      </c>
      <c r="I717" t="e">
        <f t="shared" si="11"/>
        <v>#NUM!</v>
      </c>
    </row>
    <row r="718" spans="1:9" x14ac:dyDescent="0.3">
      <c r="A718" s="11">
        <v>16616</v>
      </c>
      <c r="B718" s="11" t="s">
        <v>21</v>
      </c>
      <c r="C718" s="11" t="s">
        <v>43</v>
      </c>
      <c r="D718" s="11">
        <v>608.37</v>
      </c>
      <c r="E718" s="11">
        <v>29</v>
      </c>
      <c r="F718" s="11">
        <v>17642.73</v>
      </c>
      <c r="G718" s="12">
        <v>45364</v>
      </c>
      <c r="H718" s="12">
        <v>45270</v>
      </c>
      <c r="I718" t="e">
        <f t="shared" si="11"/>
        <v>#NUM!</v>
      </c>
    </row>
    <row r="719" spans="1:9" x14ac:dyDescent="0.3">
      <c r="A719" s="11">
        <v>13608</v>
      </c>
      <c r="B719" s="11" t="s">
        <v>12</v>
      </c>
      <c r="C719" s="11" t="s">
        <v>45</v>
      </c>
      <c r="D719" s="11">
        <v>366.3</v>
      </c>
      <c r="E719" s="11">
        <v>50</v>
      </c>
      <c r="F719" s="11">
        <v>18315</v>
      </c>
      <c r="G719" s="12">
        <v>45228</v>
      </c>
      <c r="H719" s="12">
        <v>45336</v>
      </c>
      <c r="I719">
        <f t="shared" si="11"/>
        <v>1</v>
      </c>
    </row>
    <row r="720" spans="1:9" x14ac:dyDescent="0.3">
      <c r="A720" s="11">
        <v>48147</v>
      </c>
      <c r="B720" s="11" t="s">
        <v>24</v>
      </c>
      <c r="C720" s="11" t="s">
        <v>62</v>
      </c>
      <c r="D720" s="11">
        <v>474.55</v>
      </c>
      <c r="E720" s="11">
        <v>42</v>
      </c>
      <c r="F720" s="11">
        <v>19931.099999999999</v>
      </c>
      <c r="G720" s="12">
        <v>45494</v>
      </c>
      <c r="H720" s="12">
        <v>45049</v>
      </c>
      <c r="I720" t="e">
        <f t="shared" si="11"/>
        <v>#NUM!</v>
      </c>
    </row>
    <row r="721" spans="1:9" x14ac:dyDescent="0.3">
      <c r="A721" s="11">
        <v>22661</v>
      </c>
      <c r="B721" s="11" t="s">
        <v>8</v>
      </c>
      <c r="C721" s="11" t="s">
        <v>77</v>
      </c>
      <c r="D721" s="11">
        <v>761.92</v>
      </c>
      <c r="E721" s="11">
        <v>7</v>
      </c>
      <c r="F721" s="11">
        <v>5333.44</v>
      </c>
      <c r="G721" s="12">
        <v>45542</v>
      </c>
      <c r="H721" s="12">
        <v>45418</v>
      </c>
      <c r="I721" t="e">
        <f t="shared" si="11"/>
        <v>#NUM!</v>
      </c>
    </row>
    <row r="722" spans="1:9" x14ac:dyDescent="0.3">
      <c r="A722" s="11">
        <v>50973</v>
      </c>
      <c r="B722" s="11" t="s">
        <v>26</v>
      </c>
      <c r="C722" s="11" t="s">
        <v>50</v>
      </c>
      <c r="D722" s="11">
        <v>468.95</v>
      </c>
      <c r="E722" s="11">
        <v>48</v>
      </c>
      <c r="F722" s="11">
        <v>22509.599999999999</v>
      </c>
      <c r="G722" s="12">
        <v>45136</v>
      </c>
      <c r="H722" s="12">
        <v>45341</v>
      </c>
      <c r="I722">
        <f t="shared" si="11"/>
        <v>1</v>
      </c>
    </row>
    <row r="723" spans="1:9" x14ac:dyDescent="0.3">
      <c r="A723" s="11">
        <v>92398</v>
      </c>
      <c r="B723" s="11" t="s">
        <v>14</v>
      </c>
      <c r="C723" s="11" t="s">
        <v>36</v>
      </c>
      <c r="D723" s="11">
        <v>596.97</v>
      </c>
      <c r="E723" s="11">
        <v>26</v>
      </c>
      <c r="F723" s="11">
        <v>15521.22</v>
      </c>
      <c r="G723" s="12">
        <v>45371</v>
      </c>
      <c r="H723" s="12">
        <v>45022</v>
      </c>
      <c r="I723" t="e">
        <f t="shared" si="11"/>
        <v>#NUM!</v>
      </c>
    </row>
    <row r="724" spans="1:9" x14ac:dyDescent="0.3">
      <c r="A724" s="11">
        <v>24296</v>
      </c>
      <c r="B724" s="11" t="s">
        <v>22</v>
      </c>
      <c r="C724" s="11" t="s">
        <v>73</v>
      </c>
      <c r="D724" s="11">
        <v>890.84</v>
      </c>
      <c r="E724" s="11">
        <v>40</v>
      </c>
      <c r="F724" s="11">
        <v>35633.599999999999</v>
      </c>
      <c r="G724" s="12">
        <v>45450</v>
      </c>
      <c r="H724" s="12">
        <v>45025</v>
      </c>
      <c r="I724" t="e">
        <f t="shared" si="11"/>
        <v>#NUM!</v>
      </c>
    </row>
    <row r="725" spans="1:9" x14ac:dyDescent="0.3">
      <c r="A725" s="11">
        <v>78028</v>
      </c>
      <c r="B725" s="11" t="s">
        <v>22</v>
      </c>
      <c r="C725" s="11" t="s">
        <v>32</v>
      </c>
      <c r="D725" s="11">
        <v>546.64</v>
      </c>
      <c r="E725" s="11">
        <v>13</v>
      </c>
      <c r="F725" s="11">
        <v>7106.32</v>
      </c>
      <c r="G725" s="12">
        <v>45460</v>
      </c>
      <c r="H725" s="12">
        <v>45016</v>
      </c>
      <c r="I725" t="e">
        <f t="shared" si="11"/>
        <v>#NUM!</v>
      </c>
    </row>
    <row r="726" spans="1:9" x14ac:dyDescent="0.3">
      <c r="A726" s="11">
        <v>36966</v>
      </c>
      <c r="B726" s="11" t="s">
        <v>27</v>
      </c>
      <c r="C726" s="11" t="s">
        <v>34</v>
      </c>
      <c r="D726" s="11">
        <v>222.47</v>
      </c>
      <c r="E726" s="11">
        <v>35</v>
      </c>
      <c r="F726" s="11">
        <v>7786.45</v>
      </c>
      <c r="G726" s="12">
        <v>45277</v>
      </c>
      <c r="H726" s="12">
        <v>45482</v>
      </c>
      <c r="I726">
        <f t="shared" si="11"/>
        <v>1</v>
      </c>
    </row>
    <row r="727" spans="1:9" x14ac:dyDescent="0.3">
      <c r="A727" s="11">
        <v>80788</v>
      </c>
      <c r="B727" s="11" t="s">
        <v>17</v>
      </c>
      <c r="C727" s="11" t="s">
        <v>48</v>
      </c>
      <c r="D727" s="11">
        <v>93.68</v>
      </c>
      <c r="E727" s="11">
        <v>20</v>
      </c>
      <c r="F727" s="11">
        <v>1873.6</v>
      </c>
      <c r="G727" s="12">
        <v>45385</v>
      </c>
      <c r="H727" s="12">
        <v>44984</v>
      </c>
      <c r="I727" t="e">
        <f t="shared" si="11"/>
        <v>#NUM!</v>
      </c>
    </row>
    <row r="728" spans="1:9" x14ac:dyDescent="0.3">
      <c r="A728" s="11">
        <v>79416</v>
      </c>
      <c r="B728" s="11" t="s">
        <v>9</v>
      </c>
      <c r="C728" s="11" t="s">
        <v>54</v>
      </c>
      <c r="D728" s="11">
        <v>730.09</v>
      </c>
      <c r="E728" s="11">
        <v>1</v>
      </c>
      <c r="F728" s="11">
        <v>730.09</v>
      </c>
      <c r="G728" s="12">
        <v>45434</v>
      </c>
      <c r="H728" s="12">
        <v>45038</v>
      </c>
      <c r="I728" t="e">
        <f t="shared" si="11"/>
        <v>#NUM!</v>
      </c>
    </row>
    <row r="729" spans="1:9" x14ac:dyDescent="0.3">
      <c r="A729" s="11">
        <v>83130</v>
      </c>
      <c r="B729" s="11" t="s">
        <v>10</v>
      </c>
      <c r="C729" s="11" t="s">
        <v>37</v>
      </c>
      <c r="D729" s="11">
        <v>796.94</v>
      </c>
      <c r="E729" s="11">
        <v>27</v>
      </c>
      <c r="F729" s="11">
        <v>21517.38</v>
      </c>
      <c r="G729" s="12">
        <v>45191</v>
      </c>
      <c r="H729" s="12">
        <v>45113</v>
      </c>
      <c r="I729" t="e">
        <f t="shared" si="11"/>
        <v>#NUM!</v>
      </c>
    </row>
    <row r="730" spans="1:9" x14ac:dyDescent="0.3">
      <c r="A730" s="11">
        <v>79366</v>
      </c>
      <c r="B730" s="11" t="s">
        <v>10</v>
      </c>
      <c r="C730" s="11" t="s">
        <v>42</v>
      </c>
      <c r="D730" s="11">
        <v>112.52</v>
      </c>
      <c r="E730" s="11">
        <v>30</v>
      </c>
      <c r="F730" s="11">
        <v>3375.6</v>
      </c>
      <c r="G730" s="12">
        <v>45242</v>
      </c>
      <c r="H730" s="12">
        <v>44998</v>
      </c>
      <c r="I730" t="e">
        <f t="shared" si="11"/>
        <v>#NUM!</v>
      </c>
    </row>
    <row r="731" spans="1:9" x14ac:dyDescent="0.3">
      <c r="A731" s="11">
        <v>43263</v>
      </c>
      <c r="B731" s="11" t="s">
        <v>15</v>
      </c>
      <c r="C731" s="11" t="s">
        <v>44</v>
      </c>
      <c r="D731" s="11">
        <v>654.4</v>
      </c>
      <c r="E731" s="11">
        <v>22</v>
      </c>
      <c r="F731" s="11">
        <v>14396.8</v>
      </c>
      <c r="G731" s="12">
        <v>45467</v>
      </c>
      <c r="H731" s="12">
        <v>45540</v>
      </c>
      <c r="I731">
        <f t="shared" si="11"/>
        <v>1</v>
      </c>
    </row>
    <row r="732" spans="1:9" x14ac:dyDescent="0.3">
      <c r="A732" s="11">
        <v>99928</v>
      </c>
      <c r="B732" s="11" t="s">
        <v>8</v>
      </c>
      <c r="C732" s="11" t="s">
        <v>63</v>
      </c>
      <c r="D732" s="11">
        <v>611.66</v>
      </c>
      <c r="E732" s="11">
        <v>1</v>
      </c>
      <c r="F732" s="11">
        <v>611.66</v>
      </c>
      <c r="G732" s="12">
        <v>45517</v>
      </c>
      <c r="H732" s="12">
        <v>45454</v>
      </c>
      <c r="I732" t="e">
        <f t="shared" si="11"/>
        <v>#NUM!</v>
      </c>
    </row>
    <row r="733" spans="1:9" x14ac:dyDescent="0.3">
      <c r="A733" s="11">
        <v>34372</v>
      </c>
      <c r="B733" s="11" t="s">
        <v>18</v>
      </c>
      <c r="C733" s="11" t="s">
        <v>61</v>
      </c>
      <c r="D733" s="11">
        <v>705.68</v>
      </c>
      <c r="E733" s="11">
        <v>1</v>
      </c>
      <c r="F733" s="11">
        <v>705.68</v>
      </c>
      <c r="G733" s="12">
        <v>45660</v>
      </c>
      <c r="H733" s="12">
        <v>45542</v>
      </c>
      <c r="I733" t="e">
        <f t="shared" si="11"/>
        <v>#NUM!</v>
      </c>
    </row>
    <row r="734" spans="1:9" x14ac:dyDescent="0.3">
      <c r="A734" s="11">
        <v>45728</v>
      </c>
      <c r="B734" s="11" t="s">
        <v>15</v>
      </c>
      <c r="C734" s="11" t="s">
        <v>45</v>
      </c>
      <c r="D734" s="11">
        <v>366.3</v>
      </c>
      <c r="E734" s="11">
        <v>30</v>
      </c>
      <c r="F734" s="11">
        <v>10989</v>
      </c>
      <c r="G734" s="12">
        <v>45128</v>
      </c>
      <c r="H734" s="12">
        <v>45097</v>
      </c>
      <c r="I734" t="e">
        <f t="shared" si="11"/>
        <v>#NUM!</v>
      </c>
    </row>
    <row r="735" spans="1:9" x14ac:dyDescent="0.3">
      <c r="A735" s="11">
        <v>47227</v>
      </c>
      <c r="B735" s="11" t="s">
        <v>13</v>
      </c>
      <c r="C735" s="11" t="s">
        <v>51</v>
      </c>
      <c r="D735" s="11">
        <v>533.15</v>
      </c>
      <c r="E735" s="11">
        <v>46</v>
      </c>
      <c r="F735" s="11">
        <v>24524.9</v>
      </c>
      <c r="G735" s="12">
        <v>45574</v>
      </c>
      <c r="H735" s="12">
        <v>44985</v>
      </c>
      <c r="I735" t="e">
        <f t="shared" si="11"/>
        <v>#NUM!</v>
      </c>
    </row>
    <row r="736" spans="1:9" x14ac:dyDescent="0.3">
      <c r="A736" s="11">
        <v>96364</v>
      </c>
      <c r="B736" s="11" t="s">
        <v>10</v>
      </c>
      <c r="C736" s="11" t="s">
        <v>37</v>
      </c>
      <c r="D736" s="11">
        <v>796.94</v>
      </c>
      <c r="E736" s="11">
        <v>4</v>
      </c>
      <c r="F736" s="11">
        <v>3187.76</v>
      </c>
      <c r="G736" s="12">
        <v>45093</v>
      </c>
      <c r="H736" s="12">
        <v>45415</v>
      </c>
      <c r="I736">
        <f t="shared" si="11"/>
        <v>1</v>
      </c>
    </row>
    <row r="737" spans="1:9" x14ac:dyDescent="0.3">
      <c r="A737" s="11">
        <v>30030</v>
      </c>
      <c r="B737" s="11" t="s">
        <v>18</v>
      </c>
      <c r="C737" s="11" t="s">
        <v>38</v>
      </c>
      <c r="D737" s="11">
        <v>233.83</v>
      </c>
      <c r="E737" s="11">
        <v>4</v>
      </c>
      <c r="F737" s="11">
        <v>935.32</v>
      </c>
      <c r="G737" s="12">
        <v>45548</v>
      </c>
      <c r="H737" s="12">
        <v>45136</v>
      </c>
      <c r="I737" t="e">
        <f t="shared" si="11"/>
        <v>#NUM!</v>
      </c>
    </row>
    <row r="738" spans="1:9" x14ac:dyDescent="0.3">
      <c r="A738" s="11">
        <v>54822</v>
      </c>
      <c r="B738" s="11" t="s">
        <v>18</v>
      </c>
      <c r="C738" s="11" t="s">
        <v>62</v>
      </c>
      <c r="D738" s="11">
        <v>474.55</v>
      </c>
      <c r="E738" s="11">
        <v>25</v>
      </c>
      <c r="F738" s="11">
        <v>11863.75</v>
      </c>
      <c r="G738" s="12">
        <v>45558</v>
      </c>
      <c r="H738" s="12">
        <v>45373</v>
      </c>
      <c r="I738" t="e">
        <f t="shared" si="11"/>
        <v>#NUM!</v>
      </c>
    </row>
    <row r="739" spans="1:9" x14ac:dyDescent="0.3">
      <c r="A739" s="11">
        <v>72660</v>
      </c>
      <c r="B739" s="11" t="s">
        <v>12</v>
      </c>
      <c r="C739" s="11" t="s">
        <v>62</v>
      </c>
      <c r="D739" s="11">
        <v>474.55</v>
      </c>
      <c r="E739" s="11">
        <v>25</v>
      </c>
      <c r="F739" s="11">
        <v>11863.75</v>
      </c>
      <c r="G739" s="12">
        <v>45625</v>
      </c>
      <c r="H739" s="12">
        <v>45272</v>
      </c>
      <c r="I739" t="e">
        <f t="shared" si="11"/>
        <v>#NUM!</v>
      </c>
    </row>
    <row r="740" spans="1:9" x14ac:dyDescent="0.3">
      <c r="A740" s="11">
        <v>58357</v>
      </c>
      <c r="B740" s="11" t="s">
        <v>19</v>
      </c>
      <c r="C740" s="11" t="s">
        <v>46</v>
      </c>
      <c r="D740" s="11">
        <v>617.33000000000004</v>
      </c>
      <c r="E740" s="11">
        <v>26</v>
      </c>
      <c r="F740" s="11">
        <v>16050.58</v>
      </c>
      <c r="G740" s="12">
        <v>45004</v>
      </c>
      <c r="H740" s="12">
        <v>45461</v>
      </c>
      <c r="I740">
        <f t="shared" si="11"/>
        <v>1</v>
      </c>
    </row>
    <row r="741" spans="1:9" x14ac:dyDescent="0.3">
      <c r="A741" s="11">
        <v>16433</v>
      </c>
      <c r="B741" s="11" t="s">
        <v>27</v>
      </c>
      <c r="C741" s="11" t="s">
        <v>60</v>
      </c>
      <c r="D741" s="11">
        <v>184.57</v>
      </c>
      <c r="E741" s="11">
        <v>5</v>
      </c>
      <c r="F741" s="11">
        <v>922.85</v>
      </c>
      <c r="G741" s="12">
        <v>45065</v>
      </c>
      <c r="H741" s="12">
        <v>45602</v>
      </c>
      <c r="I741">
        <f t="shared" si="11"/>
        <v>1</v>
      </c>
    </row>
    <row r="742" spans="1:9" x14ac:dyDescent="0.3">
      <c r="A742" s="11">
        <v>98931</v>
      </c>
      <c r="B742" s="11" t="s">
        <v>18</v>
      </c>
      <c r="C742" s="11" t="s">
        <v>36</v>
      </c>
      <c r="D742" s="11">
        <v>596.97</v>
      </c>
      <c r="E742" s="11">
        <v>3</v>
      </c>
      <c r="F742" s="11">
        <v>1790.91</v>
      </c>
      <c r="G742" s="12">
        <v>45629</v>
      </c>
      <c r="H742" s="12">
        <v>45293</v>
      </c>
      <c r="I742" t="e">
        <f t="shared" si="11"/>
        <v>#NUM!</v>
      </c>
    </row>
    <row r="743" spans="1:9" x14ac:dyDescent="0.3">
      <c r="A743" s="11">
        <v>33374</v>
      </c>
      <c r="B743" s="11" t="s">
        <v>10</v>
      </c>
      <c r="C743" s="11" t="s">
        <v>45</v>
      </c>
      <c r="D743" s="11">
        <v>366.3</v>
      </c>
      <c r="E743" s="11">
        <v>32</v>
      </c>
      <c r="F743" s="11">
        <v>11721.6</v>
      </c>
      <c r="G743" s="12">
        <v>45438</v>
      </c>
      <c r="H743" s="12">
        <v>45440</v>
      </c>
      <c r="I743">
        <f t="shared" si="11"/>
        <v>0</v>
      </c>
    </row>
    <row r="744" spans="1:9" x14ac:dyDescent="0.3">
      <c r="A744" s="11">
        <v>18801</v>
      </c>
      <c r="B744" s="11" t="s">
        <v>13</v>
      </c>
      <c r="C744" s="11" t="s">
        <v>71</v>
      </c>
      <c r="D744" s="11">
        <v>870.6</v>
      </c>
      <c r="E744" s="11">
        <v>40</v>
      </c>
      <c r="F744" s="11">
        <v>34824</v>
      </c>
      <c r="G744" s="12">
        <v>45231</v>
      </c>
      <c r="H744" s="12">
        <v>45298</v>
      </c>
      <c r="I744">
        <f t="shared" si="11"/>
        <v>1</v>
      </c>
    </row>
    <row r="745" spans="1:9" x14ac:dyDescent="0.3">
      <c r="A745" s="11">
        <v>40645</v>
      </c>
      <c r="B745" s="11" t="s">
        <v>12</v>
      </c>
      <c r="C745" s="11" t="s">
        <v>40</v>
      </c>
      <c r="D745" s="11">
        <v>875.47</v>
      </c>
      <c r="E745" s="11">
        <v>30</v>
      </c>
      <c r="F745" s="11">
        <v>26264.1</v>
      </c>
      <c r="G745" s="12">
        <v>45481</v>
      </c>
      <c r="H745" s="12">
        <v>45310</v>
      </c>
      <c r="I745" t="e">
        <f t="shared" si="11"/>
        <v>#NUM!</v>
      </c>
    </row>
    <row r="746" spans="1:9" x14ac:dyDescent="0.3">
      <c r="A746" s="11">
        <v>56283</v>
      </c>
      <c r="B746" s="11" t="s">
        <v>17</v>
      </c>
      <c r="C746" s="11" t="s">
        <v>66</v>
      </c>
      <c r="D746" s="11">
        <v>45.72</v>
      </c>
      <c r="E746" s="11">
        <v>13</v>
      </c>
      <c r="F746" s="11">
        <v>594.36</v>
      </c>
      <c r="G746" s="12">
        <v>45068</v>
      </c>
      <c r="H746" s="12">
        <v>45066</v>
      </c>
      <c r="I746" t="e">
        <f t="shared" si="11"/>
        <v>#NUM!</v>
      </c>
    </row>
    <row r="747" spans="1:9" x14ac:dyDescent="0.3">
      <c r="A747" s="11">
        <v>62746</v>
      </c>
      <c r="B747" s="11" t="s">
        <v>27</v>
      </c>
      <c r="C747" s="11" t="s">
        <v>65</v>
      </c>
      <c r="D747" s="11">
        <v>753.12</v>
      </c>
      <c r="E747" s="11">
        <v>26</v>
      </c>
      <c r="F747" s="11">
        <v>19581.12</v>
      </c>
      <c r="G747" s="12">
        <v>45151</v>
      </c>
      <c r="H747" s="12">
        <v>45058</v>
      </c>
      <c r="I747" t="e">
        <f t="shared" si="11"/>
        <v>#NUM!</v>
      </c>
    </row>
    <row r="748" spans="1:9" x14ac:dyDescent="0.3">
      <c r="A748" s="11">
        <v>68815</v>
      </c>
      <c r="B748" s="11" t="s">
        <v>15</v>
      </c>
      <c r="C748" s="11" t="s">
        <v>72</v>
      </c>
      <c r="D748" s="11">
        <v>913.18</v>
      </c>
      <c r="E748" s="11">
        <v>33</v>
      </c>
      <c r="F748" s="11">
        <v>30134.94</v>
      </c>
      <c r="G748" s="12">
        <v>45001</v>
      </c>
      <c r="H748" s="12">
        <v>45455</v>
      </c>
      <c r="I748">
        <f t="shared" si="11"/>
        <v>1</v>
      </c>
    </row>
    <row r="749" spans="1:9" x14ac:dyDescent="0.3">
      <c r="A749" s="11">
        <v>52874</v>
      </c>
      <c r="B749" s="11" t="s">
        <v>12</v>
      </c>
      <c r="C749" s="11" t="s">
        <v>56</v>
      </c>
      <c r="D749" s="11">
        <v>641.34</v>
      </c>
      <c r="E749" s="11">
        <v>36</v>
      </c>
      <c r="F749" s="11">
        <v>23088.240000000002</v>
      </c>
      <c r="G749" s="12">
        <v>45423</v>
      </c>
      <c r="H749" s="12">
        <v>45120</v>
      </c>
      <c r="I749" t="e">
        <f t="shared" si="11"/>
        <v>#NUM!</v>
      </c>
    </row>
    <row r="750" spans="1:9" x14ac:dyDescent="0.3">
      <c r="A750" s="11">
        <v>48546</v>
      </c>
      <c r="B750" s="11" t="s">
        <v>23</v>
      </c>
      <c r="C750" s="11" t="s">
        <v>36</v>
      </c>
      <c r="D750" s="11">
        <v>596.97</v>
      </c>
      <c r="E750" s="11">
        <v>5</v>
      </c>
      <c r="F750" s="11">
        <v>2984.85</v>
      </c>
      <c r="G750" s="12">
        <v>45242</v>
      </c>
      <c r="H750" s="12">
        <v>44981</v>
      </c>
      <c r="I750" t="e">
        <f t="shared" si="11"/>
        <v>#NUM!</v>
      </c>
    </row>
    <row r="751" spans="1:9" x14ac:dyDescent="0.3">
      <c r="A751" s="11">
        <v>62900</v>
      </c>
      <c r="B751" s="11" t="s">
        <v>15</v>
      </c>
      <c r="C751" s="11" t="s">
        <v>71</v>
      </c>
      <c r="D751" s="11">
        <v>870.6</v>
      </c>
      <c r="E751" s="11">
        <v>22</v>
      </c>
      <c r="F751" s="11">
        <v>19153.2</v>
      </c>
      <c r="G751" s="12">
        <v>45022</v>
      </c>
      <c r="H751" s="12">
        <v>44977</v>
      </c>
      <c r="I751" t="e">
        <f t="shared" si="11"/>
        <v>#NUM!</v>
      </c>
    </row>
    <row r="752" spans="1:9" x14ac:dyDescent="0.3">
      <c r="A752" s="11">
        <v>81140</v>
      </c>
      <c r="B752" s="11" t="s">
        <v>12</v>
      </c>
      <c r="C752" s="11" t="s">
        <v>31</v>
      </c>
      <c r="D752" s="11">
        <v>449.74</v>
      </c>
      <c r="E752" s="11">
        <v>10</v>
      </c>
      <c r="F752" s="11">
        <v>4497.3999999999996</v>
      </c>
      <c r="G752" s="12">
        <v>45168</v>
      </c>
      <c r="H752" s="12">
        <v>45456</v>
      </c>
      <c r="I752">
        <f t="shared" si="11"/>
        <v>1</v>
      </c>
    </row>
    <row r="753" spans="1:9" x14ac:dyDescent="0.3">
      <c r="A753" s="11">
        <v>58106</v>
      </c>
      <c r="B753" s="11" t="s">
        <v>21</v>
      </c>
      <c r="C753" s="11" t="s">
        <v>74</v>
      </c>
      <c r="D753" s="11">
        <v>346.4</v>
      </c>
      <c r="E753" s="11">
        <v>15</v>
      </c>
      <c r="F753" s="11">
        <v>5196</v>
      </c>
      <c r="G753" s="12">
        <v>45174</v>
      </c>
      <c r="H753" s="12">
        <v>45653</v>
      </c>
      <c r="I753">
        <f t="shared" si="11"/>
        <v>1</v>
      </c>
    </row>
    <row r="754" spans="1:9" x14ac:dyDescent="0.3">
      <c r="A754" s="11">
        <v>93327</v>
      </c>
      <c r="B754" s="11" t="s">
        <v>25</v>
      </c>
      <c r="C754" s="11" t="s">
        <v>68</v>
      </c>
      <c r="D754" s="11">
        <v>795.19</v>
      </c>
      <c r="E754" s="11">
        <v>10</v>
      </c>
      <c r="F754" s="11">
        <v>7951.9</v>
      </c>
      <c r="G754" s="12">
        <v>45326</v>
      </c>
      <c r="H754" s="12">
        <v>45305</v>
      </c>
      <c r="I754" t="e">
        <f t="shared" si="11"/>
        <v>#NUM!</v>
      </c>
    </row>
    <row r="755" spans="1:9" x14ac:dyDescent="0.3">
      <c r="A755" s="11">
        <v>75493</v>
      </c>
      <c r="B755" s="11" t="s">
        <v>15</v>
      </c>
      <c r="C755" s="11" t="s">
        <v>60</v>
      </c>
      <c r="D755" s="11">
        <v>184.57</v>
      </c>
      <c r="E755" s="11">
        <v>15</v>
      </c>
      <c r="F755" s="11">
        <v>2768.55</v>
      </c>
      <c r="G755" s="12">
        <v>45454</v>
      </c>
      <c r="H755" s="12">
        <v>45136</v>
      </c>
      <c r="I755" t="e">
        <f t="shared" si="11"/>
        <v>#NUM!</v>
      </c>
    </row>
    <row r="756" spans="1:9" x14ac:dyDescent="0.3">
      <c r="A756" s="11">
        <v>43094</v>
      </c>
      <c r="B756" s="11" t="s">
        <v>13</v>
      </c>
      <c r="C756" s="11" t="s">
        <v>44</v>
      </c>
      <c r="D756" s="11">
        <v>654.4</v>
      </c>
      <c r="E756" s="11">
        <v>29</v>
      </c>
      <c r="F756" s="11">
        <v>18977.599999999999</v>
      </c>
      <c r="G756" s="12">
        <v>45243</v>
      </c>
      <c r="H756" s="12">
        <v>45261</v>
      </c>
      <c r="I756">
        <f t="shared" si="11"/>
        <v>1</v>
      </c>
    </row>
    <row r="757" spans="1:9" x14ac:dyDescent="0.3">
      <c r="A757" s="11">
        <v>40906</v>
      </c>
      <c r="B757" s="11" t="s">
        <v>21</v>
      </c>
      <c r="C757" s="11" t="s">
        <v>76</v>
      </c>
      <c r="D757" s="11">
        <v>95.12</v>
      </c>
      <c r="E757" s="11">
        <v>3</v>
      </c>
      <c r="F757" s="11">
        <v>285.36</v>
      </c>
      <c r="G757" s="12">
        <v>45601</v>
      </c>
      <c r="H757" s="12">
        <v>45407</v>
      </c>
      <c r="I757" t="e">
        <f t="shared" si="11"/>
        <v>#NUM!</v>
      </c>
    </row>
    <row r="758" spans="1:9" x14ac:dyDescent="0.3">
      <c r="A758" s="11">
        <v>70520</v>
      </c>
      <c r="B758" s="11" t="s">
        <v>14</v>
      </c>
      <c r="C758" s="11" t="s">
        <v>45</v>
      </c>
      <c r="D758" s="11">
        <v>366.3</v>
      </c>
      <c r="E758" s="11">
        <v>45</v>
      </c>
      <c r="F758" s="11">
        <v>16483.5</v>
      </c>
      <c r="G758" s="12">
        <v>44952</v>
      </c>
      <c r="H758" s="12">
        <v>45051</v>
      </c>
      <c r="I758">
        <f t="shared" si="11"/>
        <v>1</v>
      </c>
    </row>
    <row r="759" spans="1:9" x14ac:dyDescent="0.3">
      <c r="A759" s="11">
        <v>71310</v>
      </c>
      <c r="B759" s="11" t="s">
        <v>24</v>
      </c>
      <c r="C759" s="11" t="s">
        <v>35</v>
      </c>
      <c r="D759" s="11">
        <v>101.12</v>
      </c>
      <c r="E759" s="11">
        <v>41</v>
      </c>
      <c r="F759" s="11">
        <v>4145.92</v>
      </c>
      <c r="G759" s="12">
        <v>45673</v>
      </c>
      <c r="H759" s="12">
        <v>45200</v>
      </c>
      <c r="I759" t="e">
        <f t="shared" si="11"/>
        <v>#NUM!</v>
      </c>
    </row>
    <row r="760" spans="1:9" x14ac:dyDescent="0.3">
      <c r="A760" s="11">
        <v>81115</v>
      </c>
      <c r="B760" s="11" t="s">
        <v>23</v>
      </c>
      <c r="C760" s="11" t="s">
        <v>31</v>
      </c>
      <c r="D760" s="11">
        <v>449.74</v>
      </c>
      <c r="E760" s="11">
        <v>43</v>
      </c>
      <c r="F760" s="11">
        <v>19338.82</v>
      </c>
      <c r="G760" s="12">
        <v>45434</v>
      </c>
      <c r="H760" s="12">
        <v>45059</v>
      </c>
      <c r="I760" t="e">
        <f t="shared" si="11"/>
        <v>#NUM!</v>
      </c>
    </row>
    <row r="761" spans="1:9" x14ac:dyDescent="0.3">
      <c r="A761" s="11">
        <v>20677</v>
      </c>
      <c r="B761" s="11" t="s">
        <v>24</v>
      </c>
      <c r="C761" s="11" t="s">
        <v>53</v>
      </c>
      <c r="D761" s="11">
        <v>972.24</v>
      </c>
      <c r="E761" s="11">
        <v>49</v>
      </c>
      <c r="F761" s="11">
        <v>47639.76</v>
      </c>
      <c r="G761" s="12">
        <v>45098</v>
      </c>
      <c r="H761" s="12">
        <v>45050</v>
      </c>
      <c r="I761" t="e">
        <f t="shared" si="11"/>
        <v>#NUM!</v>
      </c>
    </row>
    <row r="762" spans="1:9" x14ac:dyDescent="0.3">
      <c r="A762" s="11">
        <v>19286</v>
      </c>
      <c r="B762" s="11" t="s">
        <v>21</v>
      </c>
      <c r="C762" s="11" t="s">
        <v>52</v>
      </c>
      <c r="D762" s="11">
        <v>323.73</v>
      </c>
      <c r="E762" s="11">
        <v>18</v>
      </c>
      <c r="F762" s="11">
        <v>5827.14</v>
      </c>
      <c r="G762" s="12">
        <v>45061</v>
      </c>
      <c r="H762" s="12">
        <v>45386</v>
      </c>
      <c r="I762">
        <f t="shared" si="11"/>
        <v>1</v>
      </c>
    </row>
    <row r="763" spans="1:9" x14ac:dyDescent="0.3">
      <c r="A763" s="11">
        <v>42293</v>
      </c>
      <c r="B763" s="11" t="s">
        <v>25</v>
      </c>
      <c r="C763" s="11" t="s">
        <v>35</v>
      </c>
      <c r="D763" s="11">
        <v>101.12</v>
      </c>
      <c r="E763" s="11">
        <v>40</v>
      </c>
      <c r="F763" s="11">
        <v>4044.8</v>
      </c>
      <c r="G763" s="12">
        <v>44980</v>
      </c>
      <c r="H763" s="12">
        <v>45440</v>
      </c>
      <c r="I763">
        <f t="shared" si="11"/>
        <v>1</v>
      </c>
    </row>
    <row r="764" spans="1:9" x14ac:dyDescent="0.3">
      <c r="A764" s="11">
        <v>87188</v>
      </c>
      <c r="B764" s="11" t="s">
        <v>13</v>
      </c>
      <c r="C764" s="11" t="s">
        <v>69</v>
      </c>
      <c r="D764" s="11">
        <v>158.66999999999999</v>
      </c>
      <c r="E764" s="11">
        <v>14</v>
      </c>
      <c r="F764" s="11">
        <v>2221.38</v>
      </c>
      <c r="G764" s="12">
        <v>45025</v>
      </c>
      <c r="H764" s="12">
        <v>45604</v>
      </c>
      <c r="I764">
        <f t="shared" si="11"/>
        <v>1</v>
      </c>
    </row>
    <row r="765" spans="1:9" x14ac:dyDescent="0.3">
      <c r="A765" s="11">
        <v>45269</v>
      </c>
      <c r="B765" s="11" t="s">
        <v>27</v>
      </c>
      <c r="C765" s="11" t="s">
        <v>66</v>
      </c>
      <c r="D765" s="11">
        <v>45.72</v>
      </c>
      <c r="E765" s="11">
        <v>7</v>
      </c>
      <c r="F765" s="11">
        <v>320.04000000000002</v>
      </c>
      <c r="G765" s="12">
        <v>45202</v>
      </c>
      <c r="H765" s="12">
        <v>45478</v>
      </c>
      <c r="I765">
        <f t="shared" si="11"/>
        <v>1</v>
      </c>
    </row>
    <row r="766" spans="1:9" x14ac:dyDescent="0.3">
      <c r="A766" s="11">
        <v>29918</v>
      </c>
      <c r="B766" s="11" t="s">
        <v>9</v>
      </c>
      <c r="C766" s="11" t="s">
        <v>77</v>
      </c>
      <c r="D766" s="11">
        <v>761.92</v>
      </c>
      <c r="E766" s="11">
        <v>1</v>
      </c>
      <c r="F766" s="11">
        <v>761.92</v>
      </c>
      <c r="G766" s="12">
        <v>45053</v>
      </c>
      <c r="H766" s="12">
        <v>45513</v>
      </c>
      <c r="I766">
        <f t="shared" si="11"/>
        <v>1</v>
      </c>
    </row>
    <row r="767" spans="1:9" x14ac:dyDescent="0.3">
      <c r="A767" s="11">
        <v>27993</v>
      </c>
      <c r="B767" s="11" t="s">
        <v>13</v>
      </c>
      <c r="C767" s="11" t="s">
        <v>59</v>
      </c>
      <c r="D767" s="11">
        <v>346.37</v>
      </c>
      <c r="E767" s="11">
        <v>8</v>
      </c>
      <c r="F767" s="11">
        <v>2770.96</v>
      </c>
      <c r="G767" s="12">
        <v>45329</v>
      </c>
      <c r="H767" s="12">
        <v>45554</v>
      </c>
      <c r="I767">
        <f t="shared" si="11"/>
        <v>1</v>
      </c>
    </row>
    <row r="768" spans="1:9" x14ac:dyDescent="0.3">
      <c r="A768" s="11">
        <v>60180</v>
      </c>
      <c r="B768" s="11" t="s">
        <v>23</v>
      </c>
      <c r="C768" s="11" t="s">
        <v>61</v>
      </c>
      <c r="D768" s="11">
        <v>705.68</v>
      </c>
      <c r="E768" s="11">
        <v>5</v>
      </c>
      <c r="F768" s="11">
        <v>3528.4</v>
      </c>
      <c r="G768" s="12">
        <v>45346</v>
      </c>
      <c r="H768" s="12">
        <v>44991</v>
      </c>
      <c r="I768" t="e">
        <f t="shared" si="11"/>
        <v>#NUM!</v>
      </c>
    </row>
    <row r="769" spans="1:9" x14ac:dyDescent="0.3">
      <c r="A769" s="11">
        <v>39395</v>
      </c>
      <c r="B769" s="11" t="s">
        <v>8</v>
      </c>
      <c r="C769" s="11" t="s">
        <v>45</v>
      </c>
      <c r="D769" s="11">
        <v>366.3</v>
      </c>
      <c r="E769" s="11">
        <v>34</v>
      </c>
      <c r="F769" s="11">
        <v>12454.2</v>
      </c>
      <c r="G769" s="12">
        <v>45424</v>
      </c>
      <c r="H769" s="12">
        <v>45035</v>
      </c>
      <c r="I769" t="e">
        <f t="shared" si="11"/>
        <v>#NUM!</v>
      </c>
    </row>
    <row r="770" spans="1:9" x14ac:dyDescent="0.3">
      <c r="A770" s="11">
        <v>47118</v>
      </c>
      <c r="B770" s="11" t="s">
        <v>24</v>
      </c>
      <c r="C770" s="11" t="s">
        <v>52</v>
      </c>
      <c r="D770" s="11">
        <v>323.73</v>
      </c>
      <c r="E770" s="11">
        <v>30</v>
      </c>
      <c r="F770" s="11">
        <v>9711.9</v>
      </c>
      <c r="G770" s="12">
        <v>44979</v>
      </c>
      <c r="H770" s="12">
        <v>45480</v>
      </c>
      <c r="I770">
        <f t="shared" si="11"/>
        <v>1</v>
      </c>
    </row>
    <row r="771" spans="1:9" x14ac:dyDescent="0.3">
      <c r="A771" s="11">
        <v>58033</v>
      </c>
      <c r="B771" s="11" t="s">
        <v>8</v>
      </c>
      <c r="C771" s="11" t="s">
        <v>34</v>
      </c>
      <c r="D771" s="11">
        <v>222.47</v>
      </c>
      <c r="E771" s="11">
        <v>44</v>
      </c>
      <c r="F771" s="11">
        <v>9788.68</v>
      </c>
      <c r="G771" s="12">
        <v>45073</v>
      </c>
      <c r="H771" s="12">
        <v>45060</v>
      </c>
      <c r="I771" t="e">
        <f t="shared" ref="I771:I834" si="12">IF(DATEDIF(G771,H771,"d") &gt; 15,1,0)</f>
        <v>#NUM!</v>
      </c>
    </row>
    <row r="772" spans="1:9" x14ac:dyDescent="0.3">
      <c r="A772" s="11">
        <v>80336</v>
      </c>
      <c r="B772" s="11" t="s">
        <v>22</v>
      </c>
      <c r="C772" s="11" t="s">
        <v>60</v>
      </c>
      <c r="D772" s="11">
        <v>184.57</v>
      </c>
      <c r="E772" s="11">
        <v>26</v>
      </c>
      <c r="F772" s="11">
        <v>4798.82</v>
      </c>
      <c r="G772" s="12">
        <v>45127</v>
      </c>
      <c r="H772" s="12">
        <v>45620</v>
      </c>
      <c r="I772">
        <f t="shared" si="12"/>
        <v>1</v>
      </c>
    </row>
    <row r="773" spans="1:9" x14ac:dyDescent="0.3">
      <c r="A773" s="11">
        <v>25422</v>
      </c>
      <c r="B773" s="11" t="s">
        <v>27</v>
      </c>
      <c r="C773" s="11" t="s">
        <v>45</v>
      </c>
      <c r="D773" s="11">
        <v>366.3</v>
      </c>
      <c r="E773" s="11">
        <v>33</v>
      </c>
      <c r="F773" s="11">
        <v>12087.9</v>
      </c>
      <c r="G773" s="12">
        <v>45027</v>
      </c>
      <c r="H773" s="12">
        <v>45521</v>
      </c>
      <c r="I773">
        <f t="shared" si="12"/>
        <v>1</v>
      </c>
    </row>
    <row r="774" spans="1:9" x14ac:dyDescent="0.3">
      <c r="A774" s="11">
        <v>22838</v>
      </c>
      <c r="B774" s="11" t="s">
        <v>21</v>
      </c>
      <c r="C774" s="11" t="s">
        <v>75</v>
      </c>
      <c r="D774" s="11">
        <v>325</v>
      </c>
      <c r="E774" s="11">
        <v>32</v>
      </c>
      <c r="F774" s="11">
        <v>10400</v>
      </c>
      <c r="G774" s="12">
        <v>45007</v>
      </c>
      <c r="H774" s="12">
        <v>45245</v>
      </c>
      <c r="I774">
        <f t="shared" si="12"/>
        <v>1</v>
      </c>
    </row>
    <row r="775" spans="1:9" x14ac:dyDescent="0.3">
      <c r="A775" s="11">
        <v>48973</v>
      </c>
      <c r="B775" s="11" t="s">
        <v>26</v>
      </c>
      <c r="C775" s="11" t="s">
        <v>48</v>
      </c>
      <c r="D775" s="11">
        <v>93.68</v>
      </c>
      <c r="E775" s="11">
        <v>28</v>
      </c>
      <c r="F775" s="11">
        <v>2623.04</v>
      </c>
      <c r="G775" s="12">
        <v>44987</v>
      </c>
      <c r="H775" s="12">
        <v>45440</v>
      </c>
      <c r="I775">
        <f t="shared" si="12"/>
        <v>1</v>
      </c>
    </row>
    <row r="776" spans="1:9" x14ac:dyDescent="0.3">
      <c r="A776" s="11">
        <v>72047</v>
      </c>
      <c r="B776" s="11" t="s">
        <v>21</v>
      </c>
      <c r="C776" s="11" t="s">
        <v>52</v>
      </c>
      <c r="D776" s="11">
        <v>323.73</v>
      </c>
      <c r="E776" s="11">
        <v>13</v>
      </c>
      <c r="F776" s="11">
        <v>4208.49</v>
      </c>
      <c r="G776" s="12">
        <v>45120</v>
      </c>
      <c r="H776" s="12">
        <v>44963</v>
      </c>
      <c r="I776" t="e">
        <f t="shared" si="12"/>
        <v>#NUM!</v>
      </c>
    </row>
    <row r="777" spans="1:9" x14ac:dyDescent="0.3">
      <c r="A777" s="11">
        <v>73822</v>
      </c>
      <c r="B777" s="11" t="s">
        <v>21</v>
      </c>
      <c r="C777" s="11" t="s">
        <v>38</v>
      </c>
      <c r="D777" s="11">
        <v>233.83</v>
      </c>
      <c r="E777" s="11">
        <v>37</v>
      </c>
      <c r="F777" s="11">
        <v>8651.7099999999991</v>
      </c>
      <c r="G777" s="12">
        <v>45387</v>
      </c>
      <c r="H777" s="12">
        <v>45297</v>
      </c>
      <c r="I777" t="e">
        <f t="shared" si="12"/>
        <v>#NUM!</v>
      </c>
    </row>
    <row r="778" spans="1:9" x14ac:dyDescent="0.3">
      <c r="A778" s="11">
        <v>59483</v>
      </c>
      <c r="B778" s="11" t="s">
        <v>24</v>
      </c>
      <c r="C778" s="11" t="s">
        <v>38</v>
      </c>
      <c r="D778" s="11">
        <v>233.83</v>
      </c>
      <c r="E778" s="11">
        <v>41</v>
      </c>
      <c r="F778" s="11">
        <v>9587.0300000000007</v>
      </c>
      <c r="G778" s="12">
        <v>45004</v>
      </c>
      <c r="H778" s="12">
        <v>45395</v>
      </c>
      <c r="I778">
        <f t="shared" si="12"/>
        <v>1</v>
      </c>
    </row>
    <row r="779" spans="1:9" x14ac:dyDescent="0.3">
      <c r="A779" s="11">
        <v>27567</v>
      </c>
      <c r="B779" s="11" t="s">
        <v>18</v>
      </c>
      <c r="C779" s="11" t="s">
        <v>51</v>
      </c>
      <c r="D779" s="11">
        <v>533.15</v>
      </c>
      <c r="E779" s="11">
        <v>42</v>
      </c>
      <c r="F779" s="11">
        <v>22392.3</v>
      </c>
      <c r="G779" s="12">
        <v>45599</v>
      </c>
      <c r="H779" s="12">
        <v>45643</v>
      </c>
      <c r="I779">
        <f t="shared" si="12"/>
        <v>1</v>
      </c>
    </row>
    <row r="780" spans="1:9" x14ac:dyDescent="0.3">
      <c r="A780" s="11">
        <v>57715</v>
      </c>
      <c r="B780" s="11" t="s">
        <v>8</v>
      </c>
      <c r="C780" s="11" t="s">
        <v>53</v>
      </c>
      <c r="D780" s="11">
        <v>972.24</v>
      </c>
      <c r="E780" s="11">
        <v>28</v>
      </c>
      <c r="F780" s="11">
        <v>27222.720000000001</v>
      </c>
      <c r="G780" s="12">
        <v>45065</v>
      </c>
      <c r="H780" s="12">
        <v>45436</v>
      </c>
      <c r="I780">
        <f t="shared" si="12"/>
        <v>1</v>
      </c>
    </row>
    <row r="781" spans="1:9" x14ac:dyDescent="0.3">
      <c r="A781" s="11">
        <v>91764</v>
      </c>
      <c r="B781" s="11" t="s">
        <v>16</v>
      </c>
      <c r="C781" s="11" t="s">
        <v>64</v>
      </c>
      <c r="D781" s="11">
        <v>796.51</v>
      </c>
      <c r="E781" s="11">
        <v>2</v>
      </c>
      <c r="F781" s="11">
        <v>1593.02</v>
      </c>
      <c r="G781" s="12">
        <v>45360</v>
      </c>
      <c r="H781" s="12">
        <v>45427</v>
      </c>
      <c r="I781">
        <f t="shared" si="12"/>
        <v>1</v>
      </c>
    </row>
    <row r="782" spans="1:9" x14ac:dyDescent="0.3">
      <c r="A782" s="11">
        <v>37549</v>
      </c>
      <c r="B782" s="11" t="s">
        <v>19</v>
      </c>
      <c r="C782" s="11" t="s">
        <v>35</v>
      </c>
      <c r="D782" s="11">
        <v>101.12</v>
      </c>
      <c r="E782" s="11">
        <v>14</v>
      </c>
      <c r="F782" s="11">
        <v>1415.68</v>
      </c>
      <c r="G782" s="12">
        <v>45222</v>
      </c>
      <c r="H782" s="12">
        <v>45340</v>
      </c>
      <c r="I782">
        <f t="shared" si="12"/>
        <v>1</v>
      </c>
    </row>
    <row r="783" spans="1:9" x14ac:dyDescent="0.3">
      <c r="A783" s="11">
        <v>85641</v>
      </c>
      <c r="B783" s="11" t="s">
        <v>10</v>
      </c>
      <c r="C783" s="11" t="s">
        <v>63</v>
      </c>
      <c r="D783" s="11">
        <v>611.66</v>
      </c>
      <c r="E783" s="11">
        <v>7</v>
      </c>
      <c r="F783" s="11">
        <v>4281.62</v>
      </c>
      <c r="G783" s="12">
        <v>45634</v>
      </c>
      <c r="H783" s="12">
        <v>44962</v>
      </c>
      <c r="I783" t="e">
        <f t="shared" si="12"/>
        <v>#NUM!</v>
      </c>
    </row>
    <row r="784" spans="1:9" x14ac:dyDescent="0.3">
      <c r="A784" s="11">
        <v>15240</v>
      </c>
      <c r="B784" s="11" t="s">
        <v>18</v>
      </c>
      <c r="C784" s="11" t="s">
        <v>47</v>
      </c>
      <c r="D784" s="11">
        <v>682.74</v>
      </c>
      <c r="E784" s="11">
        <v>30</v>
      </c>
      <c r="F784" s="11">
        <v>20482.2</v>
      </c>
      <c r="G784" s="12">
        <v>45225</v>
      </c>
      <c r="H784" s="12">
        <v>45314</v>
      </c>
      <c r="I784">
        <f t="shared" si="12"/>
        <v>1</v>
      </c>
    </row>
    <row r="785" spans="1:9" x14ac:dyDescent="0.3">
      <c r="A785" s="11">
        <v>67426</v>
      </c>
      <c r="B785" s="11" t="s">
        <v>20</v>
      </c>
      <c r="C785" s="11" t="s">
        <v>74</v>
      </c>
      <c r="D785" s="11">
        <v>346.4</v>
      </c>
      <c r="E785" s="11">
        <v>12</v>
      </c>
      <c r="F785" s="11">
        <v>4156.8</v>
      </c>
      <c r="G785" s="12">
        <v>45301</v>
      </c>
      <c r="H785" s="12">
        <v>45380</v>
      </c>
      <c r="I785">
        <f t="shared" si="12"/>
        <v>1</v>
      </c>
    </row>
    <row r="786" spans="1:9" x14ac:dyDescent="0.3">
      <c r="A786" s="11">
        <v>10497</v>
      </c>
      <c r="B786" s="11" t="s">
        <v>12</v>
      </c>
      <c r="C786" s="11" t="s">
        <v>70</v>
      </c>
      <c r="D786" s="11">
        <v>430.1</v>
      </c>
      <c r="E786" s="11">
        <v>16</v>
      </c>
      <c r="F786" s="11">
        <v>6881.6</v>
      </c>
      <c r="G786" s="12">
        <v>45344</v>
      </c>
      <c r="H786" s="12">
        <v>45187</v>
      </c>
      <c r="I786" t="e">
        <f t="shared" si="12"/>
        <v>#NUM!</v>
      </c>
    </row>
    <row r="787" spans="1:9" x14ac:dyDescent="0.3">
      <c r="A787" s="11">
        <v>99341</v>
      </c>
      <c r="B787" s="11" t="s">
        <v>14</v>
      </c>
      <c r="C787" s="11" t="s">
        <v>45</v>
      </c>
      <c r="D787" s="11">
        <v>366.3</v>
      </c>
      <c r="E787" s="11">
        <v>40</v>
      </c>
      <c r="F787" s="11">
        <v>14652</v>
      </c>
      <c r="G787" s="12">
        <v>45097</v>
      </c>
      <c r="H787" s="12">
        <v>45113</v>
      </c>
      <c r="I787">
        <f t="shared" si="12"/>
        <v>1</v>
      </c>
    </row>
    <row r="788" spans="1:9" x14ac:dyDescent="0.3">
      <c r="A788" s="11">
        <v>70657</v>
      </c>
      <c r="B788" s="11" t="s">
        <v>19</v>
      </c>
      <c r="C788" s="11" t="s">
        <v>35</v>
      </c>
      <c r="D788" s="11">
        <v>101.12</v>
      </c>
      <c r="E788" s="11">
        <v>7</v>
      </c>
      <c r="F788" s="11">
        <v>707.84</v>
      </c>
      <c r="G788" s="12">
        <v>45158</v>
      </c>
      <c r="H788" s="12">
        <v>45563</v>
      </c>
      <c r="I788">
        <f t="shared" si="12"/>
        <v>1</v>
      </c>
    </row>
    <row r="789" spans="1:9" x14ac:dyDescent="0.3">
      <c r="A789" s="11">
        <v>69084</v>
      </c>
      <c r="B789" s="11" t="s">
        <v>12</v>
      </c>
      <c r="C789" s="11" t="s">
        <v>59</v>
      </c>
      <c r="D789" s="11">
        <v>346.37</v>
      </c>
      <c r="E789" s="11">
        <v>38</v>
      </c>
      <c r="F789" s="11">
        <v>13162.06</v>
      </c>
      <c r="G789" s="12">
        <v>44967</v>
      </c>
      <c r="H789" s="12">
        <v>45017</v>
      </c>
      <c r="I789">
        <f t="shared" si="12"/>
        <v>1</v>
      </c>
    </row>
    <row r="790" spans="1:9" x14ac:dyDescent="0.3">
      <c r="A790" s="11">
        <v>33684</v>
      </c>
      <c r="B790" s="11" t="s">
        <v>24</v>
      </c>
      <c r="C790" s="11" t="s">
        <v>44</v>
      </c>
      <c r="D790" s="11">
        <v>654.4</v>
      </c>
      <c r="E790" s="11">
        <v>23</v>
      </c>
      <c r="F790" s="11">
        <v>15051.2</v>
      </c>
      <c r="G790" s="12">
        <v>45536</v>
      </c>
      <c r="H790" s="12">
        <v>45388</v>
      </c>
      <c r="I790" t="e">
        <f t="shared" si="12"/>
        <v>#NUM!</v>
      </c>
    </row>
    <row r="791" spans="1:9" x14ac:dyDescent="0.3">
      <c r="A791" s="11">
        <v>99831</v>
      </c>
      <c r="B791" s="11" t="s">
        <v>19</v>
      </c>
      <c r="C791" s="11" t="s">
        <v>41</v>
      </c>
      <c r="D791" s="11">
        <v>110.41</v>
      </c>
      <c r="E791" s="11">
        <v>15</v>
      </c>
      <c r="F791" s="11">
        <v>1656.15</v>
      </c>
      <c r="G791" s="12">
        <v>45306</v>
      </c>
      <c r="H791" s="12">
        <v>45385</v>
      </c>
      <c r="I791">
        <f t="shared" si="12"/>
        <v>1</v>
      </c>
    </row>
    <row r="792" spans="1:9" x14ac:dyDescent="0.3">
      <c r="A792" s="11">
        <v>45831</v>
      </c>
      <c r="B792" s="11" t="s">
        <v>19</v>
      </c>
      <c r="C792" s="11" t="s">
        <v>49</v>
      </c>
      <c r="D792" s="11">
        <v>534.77</v>
      </c>
      <c r="E792" s="11">
        <v>19</v>
      </c>
      <c r="F792" s="11">
        <v>10160.629999999999</v>
      </c>
      <c r="G792" s="12">
        <v>45520</v>
      </c>
      <c r="H792" s="12">
        <v>45435</v>
      </c>
      <c r="I792" t="e">
        <f t="shared" si="12"/>
        <v>#NUM!</v>
      </c>
    </row>
    <row r="793" spans="1:9" x14ac:dyDescent="0.3">
      <c r="A793" s="11">
        <v>89239</v>
      </c>
      <c r="B793" s="11" t="s">
        <v>16</v>
      </c>
      <c r="C793" s="11" t="s">
        <v>70</v>
      </c>
      <c r="D793" s="11">
        <v>430.1</v>
      </c>
      <c r="E793" s="11">
        <v>12</v>
      </c>
      <c r="F793" s="11">
        <v>5161.2</v>
      </c>
      <c r="G793" s="12">
        <v>45661</v>
      </c>
      <c r="H793" s="12">
        <v>45338</v>
      </c>
      <c r="I793" t="e">
        <f t="shared" si="12"/>
        <v>#NUM!</v>
      </c>
    </row>
    <row r="794" spans="1:9" x14ac:dyDescent="0.3">
      <c r="A794" s="11">
        <v>25585</v>
      </c>
      <c r="B794" s="11" t="s">
        <v>12</v>
      </c>
      <c r="C794" s="11" t="s">
        <v>64</v>
      </c>
      <c r="D794" s="11">
        <v>796.51</v>
      </c>
      <c r="E794" s="11">
        <v>25</v>
      </c>
      <c r="F794" s="11">
        <v>19912.75</v>
      </c>
      <c r="G794" s="12">
        <v>45344</v>
      </c>
      <c r="H794" s="12">
        <v>45050</v>
      </c>
      <c r="I794" t="e">
        <f t="shared" si="12"/>
        <v>#NUM!</v>
      </c>
    </row>
    <row r="795" spans="1:9" x14ac:dyDescent="0.3">
      <c r="A795" s="11">
        <v>32342</v>
      </c>
      <c r="B795" s="11" t="s">
        <v>26</v>
      </c>
      <c r="C795" s="11" t="s">
        <v>59</v>
      </c>
      <c r="D795" s="11">
        <v>346.37</v>
      </c>
      <c r="E795" s="11">
        <v>5</v>
      </c>
      <c r="F795" s="11">
        <v>1731.85</v>
      </c>
      <c r="G795" s="12">
        <v>45056</v>
      </c>
      <c r="H795" s="12">
        <v>45297</v>
      </c>
      <c r="I795">
        <f t="shared" si="12"/>
        <v>1</v>
      </c>
    </row>
    <row r="796" spans="1:9" x14ac:dyDescent="0.3">
      <c r="A796" s="11">
        <v>39932</v>
      </c>
      <c r="B796" s="11" t="s">
        <v>21</v>
      </c>
      <c r="C796" s="11" t="s">
        <v>61</v>
      </c>
      <c r="D796" s="11">
        <v>705.68</v>
      </c>
      <c r="E796" s="11">
        <v>6</v>
      </c>
      <c r="F796" s="11">
        <v>4234.08</v>
      </c>
      <c r="G796" s="12">
        <v>44960</v>
      </c>
      <c r="H796" s="12">
        <v>45183</v>
      </c>
      <c r="I796">
        <f t="shared" si="12"/>
        <v>1</v>
      </c>
    </row>
    <row r="797" spans="1:9" x14ac:dyDescent="0.3">
      <c r="A797" s="11">
        <v>75760</v>
      </c>
      <c r="B797" s="11" t="s">
        <v>21</v>
      </c>
      <c r="C797" s="11" t="s">
        <v>72</v>
      </c>
      <c r="D797" s="11">
        <v>913.18</v>
      </c>
      <c r="E797" s="11">
        <v>31</v>
      </c>
      <c r="F797" s="11">
        <v>28308.58</v>
      </c>
      <c r="G797" s="12">
        <v>45232</v>
      </c>
      <c r="H797" s="12">
        <v>44973</v>
      </c>
      <c r="I797" t="e">
        <f t="shared" si="12"/>
        <v>#NUM!</v>
      </c>
    </row>
    <row r="798" spans="1:9" x14ac:dyDescent="0.3">
      <c r="A798" s="11">
        <v>64888</v>
      </c>
      <c r="B798" s="11" t="s">
        <v>19</v>
      </c>
      <c r="C798" s="11" t="s">
        <v>44</v>
      </c>
      <c r="D798" s="11">
        <v>654.4</v>
      </c>
      <c r="E798" s="11">
        <v>6</v>
      </c>
      <c r="F798" s="11">
        <v>3926.4</v>
      </c>
      <c r="G798" s="12">
        <v>45018</v>
      </c>
      <c r="H798" s="12">
        <v>45217</v>
      </c>
      <c r="I798">
        <f t="shared" si="12"/>
        <v>1</v>
      </c>
    </row>
    <row r="799" spans="1:9" x14ac:dyDescent="0.3">
      <c r="A799" s="11">
        <v>85423</v>
      </c>
      <c r="B799" s="11" t="s">
        <v>13</v>
      </c>
      <c r="C799" s="11" t="s">
        <v>43</v>
      </c>
      <c r="D799" s="11">
        <v>608.37</v>
      </c>
      <c r="E799" s="11">
        <v>16</v>
      </c>
      <c r="F799" s="11">
        <v>9733.92</v>
      </c>
      <c r="G799" s="12">
        <v>45154</v>
      </c>
      <c r="H799" s="12">
        <v>45163</v>
      </c>
      <c r="I799">
        <f t="shared" si="12"/>
        <v>0</v>
      </c>
    </row>
    <row r="800" spans="1:9" x14ac:dyDescent="0.3">
      <c r="A800" s="11">
        <v>37918</v>
      </c>
      <c r="B800" s="11" t="s">
        <v>19</v>
      </c>
      <c r="C800" s="11" t="s">
        <v>43</v>
      </c>
      <c r="D800" s="11">
        <v>608.37</v>
      </c>
      <c r="E800" s="11">
        <v>48</v>
      </c>
      <c r="F800" s="11">
        <v>29201.759999999998</v>
      </c>
      <c r="G800" s="12">
        <v>45557</v>
      </c>
      <c r="H800" s="12">
        <v>45111</v>
      </c>
      <c r="I800" t="e">
        <f t="shared" si="12"/>
        <v>#NUM!</v>
      </c>
    </row>
    <row r="801" spans="1:9" x14ac:dyDescent="0.3">
      <c r="A801" s="11">
        <v>26343</v>
      </c>
      <c r="B801" s="11" t="s">
        <v>20</v>
      </c>
      <c r="C801" s="11" t="s">
        <v>56</v>
      </c>
      <c r="D801" s="11">
        <v>641.34</v>
      </c>
      <c r="E801" s="11">
        <v>15</v>
      </c>
      <c r="F801" s="11">
        <v>9620.1</v>
      </c>
      <c r="G801" s="12">
        <v>45192</v>
      </c>
      <c r="H801" s="12">
        <v>45193</v>
      </c>
      <c r="I801">
        <f t="shared" si="12"/>
        <v>0</v>
      </c>
    </row>
    <row r="802" spans="1:9" x14ac:dyDescent="0.3">
      <c r="A802" s="11">
        <v>21904</v>
      </c>
      <c r="B802" s="11" t="s">
        <v>9</v>
      </c>
      <c r="C802" s="11" t="s">
        <v>75</v>
      </c>
      <c r="D802" s="11">
        <v>325</v>
      </c>
      <c r="E802" s="11">
        <v>46</v>
      </c>
      <c r="F802" s="11">
        <v>14950</v>
      </c>
      <c r="G802" s="12">
        <v>45487</v>
      </c>
      <c r="H802" s="12">
        <v>45359</v>
      </c>
      <c r="I802" t="e">
        <f t="shared" si="12"/>
        <v>#NUM!</v>
      </c>
    </row>
    <row r="803" spans="1:9" x14ac:dyDescent="0.3">
      <c r="A803" s="11">
        <v>68786</v>
      </c>
      <c r="B803" s="11" t="s">
        <v>10</v>
      </c>
      <c r="C803" s="11" t="s">
        <v>77</v>
      </c>
      <c r="D803" s="11">
        <v>761.92</v>
      </c>
      <c r="E803" s="11">
        <v>23</v>
      </c>
      <c r="F803" s="11">
        <v>17524.16</v>
      </c>
      <c r="G803" s="12">
        <v>45063</v>
      </c>
      <c r="H803" s="12">
        <v>45648</v>
      </c>
      <c r="I803">
        <f t="shared" si="12"/>
        <v>1</v>
      </c>
    </row>
    <row r="804" spans="1:9" x14ac:dyDescent="0.3">
      <c r="A804" s="11">
        <v>34649</v>
      </c>
      <c r="B804" s="11" t="s">
        <v>9</v>
      </c>
      <c r="C804" s="11" t="s">
        <v>55</v>
      </c>
      <c r="D804" s="11">
        <v>399.32</v>
      </c>
      <c r="E804" s="11">
        <v>9</v>
      </c>
      <c r="F804" s="11">
        <v>3593.88</v>
      </c>
      <c r="G804" s="12">
        <v>45640</v>
      </c>
      <c r="H804" s="12">
        <v>45297</v>
      </c>
      <c r="I804" t="e">
        <f t="shared" si="12"/>
        <v>#NUM!</v>
      </c>
    </row>
    <row r="805" spans="1:9" x14ac:dyDescent="0.3">
      <c r="A805" s="11">
        <v>49433</v>
      </c>
      <c r="B805" s="11" t="s">
        <v>27</v>
      </c>
      <c r="C805" s="11" t="s">
        <v>59</v>
      </c>
      <c r="D805" s="11">
        <v>346.37</v>
      </c>
      <c r="E805" s="11">
        <v>34</v>
      </c>
      <c r="F805" s="11">
        <v>11776.58</v>
      </c>
      <c r="G805" s="12">
        <v>45377</v>
      </c>
      <c r="H805" s="12">
        <v>45190</v>
      </c>
      <c r="I805" t="e">
        <f t="shared" si="12"/>
        <v>#NUM!</v>
      </c>
    </row>
    <row r="806" spans="1:9" x14ac:dyDescent="0.3">
      <c r="A806" s="11">
        <v>78946</v>
      </c>
      <c r="B806" s="11" t="s">
        <v>15</v>
      </c>
      <c r="C806" s="11" t="s">
        <v>29</v>
      </c>
      <c r="D806" s="11">
        <v>683.98</v>
      </c>
      <c r="E806" s="11">
        <v>36</v>
      </c>
      <c r="F806" s="11">
        <v>24623.279999999999</v>
      </c>
      <c r="G806" s="12">
        <v>44980</v>
      </c>
      <c r="H806" s="12">
        <v>45479</v>
      </c>
      <c r="I806">
        <f t="shared" si="12"/>
        <v>1</v>
      </c>
    </row>
    <row r="807" spans="1:9" x14ac:dyDescent="0.3">
      <c r="A807" s="11">
        <v>21526</v>
      </c>
      <c r="B807" s="11" t="s">
        <v>15</v>
      </c>
      <c r="C807" s="11" t="s">
        <v>52</v>
      </c>
      <c r="D807" s="11">
        <v>323.73</v>
      </c>
      <c r="E807" s="11">
        <v>21</v>
      </c>
      <c r="F807" s="11">
        <v>6798.33</v>
      </c>
      <c r="G807" s="12">
        <v>45340</v>
      </c>
      <c r="H807" s="12">
        <v>44962</v>
      </c>
      <c r="I807" t="e">
        <f t="shared" si="12"/>
        <v>#NUM!</v>
      </c>
    </row>
    <row r="808" spans="1:9" x14ac:dyDescent="0.3">
      <c r="A808" s="11">
        <v>76723</v>
      </c>
      <c r="B808" s="11" t="s">
        <v>27</v>
      </c>
      <c r="C808" s="11" t="s">
        <v>74</v>
      </c>
      <c r="D808" s="11">
        <v>346.4</v>
      </c>
      <c r="E808" s="11">
        <v>44</v>
      </c>
      <c r="F808" s="11">
        <v>15241.6</v>
      </c>
      <c r="G808" s="12">
        <v>45568</v>
      </c>
      <c r="H808" s="12">
        <v>45012</v>
      </c>
      <c r="I808" t="e">
        <f t="shared" si="12"/>
        <v>#NUM!</v>
      </c>
    </row>
    <row r="809" spans="1:9" x14ac:dyDescent="0.3">
      <c r="A809" s="11">
        <v>51834</v>
      </c>
      <c r="B809" s="11" t="s">
        <v>25</v>
      </c>
      <c r="C809" s="11" t="s">
        <v>36</v>
      </c>
      <c r="D809" s="11">
        <v>596.97</v>
      </c>
      <c r="E809" s="11">
        <v>35</v>
      </c>
      <c r="F809" s="11">
        <v>20893.95</v>
      </c>
      <c r="G809" s="12">
        <v>44977</v>
      </c>
      <c r="H809" s="12">
        <v>44954</v>
      </c>
      <c r="I809" t="e">
        <f t="shared" si="12"/>
        <v>#NUM!</v>
      </c>
    </row>
    <row r="810" spans="1:9" x14ac:dyDescent="0.3">
      <c r="A810" s="11">
        <v>69699</v>
      </c>
      <c r="B810" s="11" t="s">
        <v>23</v>
      </c>
      <c r="C810" s="11" t="s">
        <v>67</v>
      </c>
      <c r="D810" s="11">
        <v>402.36</v>
      </c>
      <c r="E810" s="11">
        <v>20</v>
      </c>
      <c r="F810" s="11">
        <v>8047.2</v>
      </c>
      <c r="G810" s="12">
        <v>45161</v>
      </c>
      <c r="H810" s="12">
        <v>44961</v>
      </c>
      <c r="I810" t="e">
        <f t="shared" si="12"/>
        <v>#NUM!</v>
      </c>
    </row>
    <row r="811" spans="1:9" x14ac:dyDescent="0.3">
      <c r="A811" s="11">
        <v>80701</v>
      </c>
      <c r="B811" s="11" t="s">
        <v>23</v>
      </c>
      <c r="C811" s="11" t="s">
        <v>64</v>
      </c>
      <c r="D811" s="11">
        <v>796.51</v>
      </c>
      <c r="E811" s="11">
        <v>14</v>
      </c>
      <c r="F811" s="11">
        <v>11151.14</v>
      </c>
      <c r="G811" s="12">
        <v>45522</v>
      </c>
      <c r="H811" s="12">
        <v>44984</v>
      </c>
      <c r="I811" t="e">
        <f t="shared" si="12"/>
        <v>#NUM!</v>
      </c>
    </row>
    <row r="812" spans="1:9" x14ac:dyDescent="0.3">
      <c r="A812" s="11">
        <v>79704</v>
      </c>
      <c r="B812" s="11" t="s">
        <v>19</v>
      </c>
      <c r="C812" s="11" t="s">
        <v>60</v>
      </c>
      <c r="D812" s="11">
        <v>184.57</v>
      </c>
      <c r="E812" s="11">
        <v>34</v>
      </c>
      <c r="F812" s="11">
        <v>6275.38</v>
      </c>
      <c r="G812" s="12">
        <v>45109</v>
      </c>
      <c r="H812" s="12">
        <v>45388</v>
      </c>
      <c r="I812">
        <f t="shared" si="12"/>
        <v>1</v>
      </c>
    </row>
    <row r="813" spans="1:9" x14ac:dyDescent="0.3">
      <c r="A813" s="11">
        <v>13683</v>
      </c>
      <c r="B813" s="11" t="s">
        <v>21</v>
      </c>
      <c r="C813" s="11" t="s">
        <v>39</v>
      </c>
      <c r="D813" s="11">
        <v>988.47</v>
      </c>
      <c r="E813" s="11">
        <v>46</v>
      </c>
      <c r="F813" s="11">
        <v>45469.62</v>
      </c>
      <c r="G813" s="12">
        <v>45297</v>
      </c>
      <c r="H813" s="12">
        <v>45123</v>
      </c>
      <c r="I813" t="e">
        <f t="shared" si="12"/>
        <v>#NUM!</v>
      </c>
    </row>
    <row r="814" spans="1:9" x14ac:dyDescent="0.3">
      <c r="A814" s="11">
        <v>79046</v>
      </c>
      <c r="B814" s="11" t="s">
        <v>18</v>
      </c>
      <c r="C814" s="11" t="s">
        <v>28</v>
      </c>
      <c r="D814" s="11">
        <v>855.99</v>
      </c>
      <c r="E814" s="11">
        <v>40</v>
      </c>
      <c r="F814" s="11">
        <v>34239.599999999999</v>
      </c>
      <c r="G814" s="12">
        <v>45181</v>
      </c>
      <c r="H814" s="12">
        <v>45530</v>
      </c>
      <c r="I814">
        <f t="shared" si="12"/>
        <v>1</v>
      </c>
    </row>
    <row r="815" spans="1:9" x14ac:dyDescent="0.3">
      <c r="A815" s="11">
        <v>39938</v>
      </c>
      <c r="B815" s="11" t="s">
        <v>20</v>
      </c>
      <c r="C815" s="11" t="s">
        <v>40</v>
      </c>
      <c r="D815" s="11">
        <v>875.47</v>
      </c>
      <c r="E815" s="11">
        <v>1</v>
      </c>
      <c r="F815" s="11">
        <v>875.47</v>
      </c>
      <c r="G815" s="12">
        <v>45442</v>
      </c>
      <c r="H815" s="12">
        <v>45515</v>
      </c>
      <c r="I815">
        <f t="shared" si="12"/>
        <v>1</v>
      </c>
    </row>
    <row r="816" spans="1:9" x14ac:dyDescent="0.3">
      <c r="A816" s="11">
        <v>76991</v>
      </c>
      <c r="B816" s="11" t="s">
        <v>21</v>
      </c>
      <c r="C816" s="11" t="s">
        <v>71</v>
      </c>
      <c r="D816" s="11">
        <v>870.6</v>
      </c>
      <c r="E816" s="11">
        <v>1</v>
      </c>
      <c r="F816" s="11">
        <v>870.6</v>
      </c>
      <c r="G816" s="12">
        <v>45510</v>
      </c>
      <c r="H816" s="12">
        <v>45399</v>
      </c>
      <c r="I816" t="e">
        <f t="shared" si="12"/>
        <v>#NUM!</v>
      </c>
    </row>
    <row r="817" spans="1:9" x14ac:dyDescent="0.3">
      <c r="A817" s="11">
        <v>80237</v>
      </c>
      <c r="B817" s="11" t="s">
        <v>24</v>
      </c>
      <c r="C817" s="11" t="s">
        <v>54</v>
      </c>
      <c r="D817" s="11">
        <v>730.09</v>
      </c>
      <c r="E817" s="11">
        <v>19</v>
      </c>
      <c r="F817" s="11">
        <v>13871.71</v>
      </c>
      <c r="G817" s="12">
        <v>45548</v>
      </c>
      <c r="H817" s="12">
        <v>45025</v>
      </c>
      <c r="I817" t="e">
        <f t="shared" si="12"/>
        <v>#NUM!</v>
      </c>
    </row>
    <row r="818" spans="1:9" x14ac:dyDescent="0.3">
      <c r="A818" s="11">
        <v>35231</v>
      </c>
      <c r="B818" s="11" t="s">
        <v>12</v>
      </c>
      <c r="C818" s="11" t="s">
        <v>35</v>
      </c>
      <c r="D818" s="11">
        <v>101.12</v>
      </c>
      <c r="E818" s="11">
        <v>32</v>
      </c>
      <c r="F818" s="11">
        <v>3235.84</v>
      </c>
      <c r="G818" s="12">
        <v>45184</v>
      </c>
      <c r="H818" s="12">
        <v>45208</v>
      </c>
      <c r="I818">
        <f t="shared" si="12"/>
        <v>1</v>
      </c>
    </row>
    <row r="819" spans="1:9" x14ac:dyDescent="0.3">
      <c r="A819" s="11">
        <v>12572</v>
      </c>
      <c r="B819" s="11" t="s">
        <v>12</v>
      </c>
      <c r="C819" s="11" t="s">
        <v>46</v>
      </c>
      <c r="D819" s="11">
        <v>617.33000000000004</v>
      </c>
      <c r="E819" s="11">
        <v>39</v>
      </c>
      <c r="F819" s="11">
        <v>24075.87</v>
      </c>
      <c r="G819" s="12">
        <v>45386</v>
      </c>
      <c r="H819" s="12">
        <v>45512</v>
      </c>
      <c r="I819">
        <f t="shared" si="12"/>
        <v>1</v>
      </c>
    </row>
    <row r="820" spans="1:9" x14ac:dyDescent="0.3">
      <c r="A820" s="11">
        <v>65029</v>
      </c>
      <c r="B820" s="11" t="s">
        <v>12</v>
      </c>
      <c r="C820" s="11" t="s">
        <v>33</v>
      </c>
      <c r="D820" s="11">
        <v>622.16</v>
      </c>
      <c r="E820" s="11">
        <v>36</v>
      </c>
      <c r="F820" s="11">
        <v>22397.759999999998</v>
      </c>
      <c r="G820" s="12">
        <v>45334</v>
      </c>
      <c r="H820" s="12">
        <v>45385</v>
      </c>
      <c r="I820">
        <f t="shared" si="12"/>
        <v>1</v>
      </c>
    </row>
    <row r="821" spans="1:9" x14ac:dyDescent="0.3">
      <c r="A821" s="11">
        <v>71646</v>
      </c>
      <c r="B821" s="11" t="s">
        <v>26</v>
      </c>
      <c r="C821" s="11" t="s">
        <v>64</v>
      </c>
      <c r="D821" s="11">
        <v>796.51</v>
      </c>
      <c r="E821" s="11">
        <v>37</v>
      </c>
      <c r="F821" s="11">
        <v>29470.87</v>
      </c>
      <c r="G821" s="12">
        <v>44980</v>
      </c>
      <c r="H821" s="12">
        <v>45464</v>
      </c>
      <c r="I821">
        <f t="shared" si="12"/>
        <v>1</v>
      </c>
    </row>
    <row r="822" spans="1:9" x14ac:dyDescent="0.3">
      <c r="A822" s="11">
        <v>36849</v>
      </c>
      <c r="B822" s="11" t="s">
        <v>15</v>
      </c>
      <c r="C822" s="11" t="s">
        <v>30</v>
      </c>
      <c r="D822" s="11">
        <v>68.05</v>
      </c>
      <c r="E822" s="11">
        <v>7</v>
      </c>
      <c r="F822" s="11">
        <v>476.35</v>
      </c>
      <c r="G822" s="12">
        <v>45053</v>
      </c>
      <c r="H822" s="12">
        <v>45188</v>
      </c>
      <c r="I822">
        <f t="shared" si="12"/>
        <v>1</v>
      </c>
    </row>
    <row r="823" spans="1:9" x14ac:dyDescent="0.3">
      <c r="A823" s="11">
        <v>93787</v>
      </c>
      <c r="B823" s="11" t="s">
        <v>26</v>
      </c>
      <c r="C823" s="11" t="s">
        <v>49</v>
      </c>
      <c r="D823" s="11">
        <v>534.77</v>
      </c>
      <c r="E823" s="11">
        <v>38</v>
      </c>
      <c r="F823" s="11">
        <v>20321.259999999998</v>
      </c>
      <c r="G823" s="12">
        <v>45237</v>
      </c>
      <c r="H823" s="12">
        <v>45246</v>
      </c>
      <c r="I823">
        <f t="shared" si="12"/>
        <v>0</v>
      </c>
    </row>
    <row r="824" spans="1:9" x14ac:dyDescent="0.3">
      <c r="A824" s="11">
        <v>17814</v>
      </c>
      <c r="B824" s="11" t="s">
        <v>16</v>
      </c>
      <c r="C824" s="11" t="s">
        <v>76</v>
      </c>
      <c r="D824" s="11">
        <v>95.12</v>
      </c>
      <c r="E824" s="11">
        <v>16</v>
      </c>
      <c r="F824" s="11">
        <v>1521.92</v>
      </c>
      <c r="G824" s="12">
        <v>45618</v>
      </c>
      <c r="H824" s="12">
        <v>45478</v>
      </c>
      <c r="I824" t="e">
        <f t="shared" si="12"/>
        <v>#NUM!</v>
      </c>
    </row>
    <row r="825" spans="1:9" x14ac:dyDescent="0.3">
      <c r="A825" s="11">
        <v>63935</v>
      </c>
      <c r="B825" s="11" t="s">
        <v>15</v>
      </c>
      <c r="C825" s="11" t="s">
        <v>68</v>
      </c>
      <c r="D825" s="11">
        <v>795.19</v>
      </c>
      <c r="E825" s="11">
        <v>38</v>
      </c>
      <c r="F825" s="11">
        <v>30217.22</v>
      </c>
      <c r="G825" s="12">
        <v>45605</v>
      </c>
      <c r="H825" s="12">
        <v>45491</v>
      </c>
      <c r="I825" t="e">
        <f t="shared" si="12"/>
        <v>#NUM!</v>
      </c>
    </row>
    <row r="826" spans="1:9" x14ac:dyDescent="0.3">
      <c r="A826" s="11">
        <v>28944</v>
      </c>
      <c r="B826" s="11" t="s">
        <v>8</v>
      </c>
      <c r="C826" s="11" t="s">
        <v>55</v>
      </c>
      <c r="D826" s="11">
        <v>399.32</v>
      </c>
      <c r="E826" s="11">
        <v>38</v>
      </c>
      <c r="F826" s="11">
        <v>15174.16</v>
      </c>
      <c r="G826" s="12">
        <v>45677</v>
      </c>
      <c r="H826" s="12">
        <v>45354</v>
      </c>
      <c r="I826" t="e">
        <f t="shared" si="12"/>
        <v>#NUM!</v>
      </c>
    </row>
    <row r="827" spans="1:9" x14ac:dyDescent="0.3">
      <c r="A827" s="11">
        <v>48474</v>
      </c>
      <c r="B827" s="11" t="s">
        <v>8</v>
      </c>
      <c r="C827" s="11" t="s">
        <v>32</v>
      </c>
      <c r="D827" s="11">
        <v>546.64</v>
      </c>
      <c r="E827" s="11">
        <v>23</v>
      </c>
      <c r="F827" s="11">
        <v>12572.72</v>
      </c>
      <c r="G827" s="12">
        <v>45500</v>
      </c>
      <c r="H827" s="12">
        <v>45496</v>
      </c>
      <c r="I827" t="e">
        <f t="shared" si="12"/>
        <v>#NUM!</v>
      </c>
    </row>
    <row r="828" spans="1:9" x14ac:dyDescent="0.3">
      <c r="A828" s="11">
        <v>64023</v>
      </c>
      <c r="B828" s="11" t="s">
        <v>18</v>
      </c>
      <c r="C828" s="11" t="s">
        <v>60</v>
      </c>
      <c r="D828" s="11">
        <v>184.57</v>
      </c>
      <c r="E828" s="11">
        <v>18</v>
      </c>
      <c r="F828" s="11">
        <v>3322.26</v>
      </c>
      <c r="G828" s="12">
        <v>45437</v>
      </c>
      <c r="H828" s="12">
        <v>45350</v>
      </c>
      <c r="I828" t="e">
        <f t="shared" si="12"/>
        <v>#NUM!</v>
      </c>
    </row>
    <row r="829" spans="1:9" x14ac:dyDescent="0.3">
      <c r="A829" s="11">
        <v>75327</v>
      </c>
      <c r="B829" s="11" t="s">
        <v>17</v>
      </c>
      <c r="C829" s="11" t="s">
        <v>75</v>
      </c>
      <c r="D829" s="11">
        <v>325</v>
      </c>
      <c r="E829" s="11">
        <v>21</v>
      </c>
      <c r="F829" s="11">
        <v>6825</v>
      </c>
      <c r="G829" s="12">
        <v>44950</v>
      </c>
      <c r="H829" s="12">
        <v>45004</v>
      </c>
      <c r="I829">
        <f t="shared" si="12"/>
        <v>1</v>
      </c>
    </row>
    <row r="830" spans="1:9" x14ac:dyDescent="0.3">
      <c r="A830" s="11">
        <v>71738</v>
      </c>
      <c r="B830" s="11" t="s">
        <v>22</v>
      </c>
      <c r="C830" s="11" t="s">
        <v>77</v>
      </c>
      <c r="D830" s="11">
        <v>761.92</v>
      </c>
      <c r="E830" s="11">
        <v>24</v>
      </c>
      <c r="F830" s="11">
        <v>18286.080000000002</v>
      </c>
      <c r="G830" s="12">
        <v>44983</v>
      </c>
      <c r="H830" s="12">
        <v>45093</v>
      </c>
      <c r="I830">
        <f t="shared" si="12"/>
        <v>1</v>
      </c>
    </row>
    <row r="831" spans="1:9" x14ac:dyDescent="0.3">
      <c r="A831" s="11">
        <v>78729</v>
      </c>
      <c r="B831" s="11" t="s">
        <v>25</v>
      </c>
      <c r="C831" s="11" t="s">
        <v>61</v>
      </c>
      <c r="D831" s="11">
        <v>705.68</v>
      </c>
      <c r="E831" s="11">
        <v>34</v>
      </c>
      <c r="F831" s="11">
        <v>23993.119999999999</v>
      </c>
      <c r="G831" s="12">
        <v>45540</v>
      </c>
      <c r="H831" s="12">
        <v>45122</v>
      </c>
      <c r="I831" t="e">
        <f t="shared" si="12"/>
        <v>#NUM!</v>
      </c>
    </row>
    <row r="832" spans="1:9" x14ac:dyDescent="0.3">
      <c r="A832" s="11">
        <v>32893</v>
      </c>
      <c r="B832" s="11" t="s">
        <v>20</v>
      </c>
      <c r="C832" s="11" t="s">
        <v>40</v>
      </c>
      <c r="D832" s="11">
        <v>875.47</v>
      </c>
      <c r="E832" s="11">
        <v>7</v>
      </c>
      <c r="F832" s="11">
        <v>6128.29</v>
      </c>
      <c r="G832" s="12">
        <v>45190</v>
      </c>
      <c r="H832" s="12">
        <v>45207</v>
      </c>
      <c r="I832">
        <f t="shared" si="12"/>
        <v>1</v>
      </c>
    </row>
    <row r="833" spans="1:9" x14ac:dyDescent="0.3">
      <c r="A833" s="11">
        <v>86471</v>
      </c>
      <c r="B833" s="11" t="s">
        <v>26</v>
      </c>
      <c r="C833" s="11" t="s">
        <v>63</v>
      </c>
      <c r="D833" s="11">
        <v>611.66</v>
      </c>
      <c r="E833" s="11">
        <v>40</v>
      </c>
      <c r="F833" s="11">
        <v>24466.400000000001</v>
      </c>
      <c r="G833" s="12">
        <v>45197</v>
      </c>
      <c r="H833" s="12">
        <v>45567</v>
      </c>
      <c r="I833">
        <f t="shared" si="12"/>
        <v>1</v>
      </c>
    </row>
    <row r="834" spans="1:9" x14ac:dyDescent="0.3">
      <c r="A834" s="11">
        <v>71344</v>
      </c>
      <c r="B834" s="11" t="s">
        <v>26</v>
      </c>
      <c r="C834" s="11" t="s">
        <v>35</v>
      </c>
      <c r="D834" s="11">
        <v>101.12</v>
      </c>
      <c r="E834" s="11">
        <v>18</v>
      </c>
      <c r="F834" s="11">
        <v>1820.16</v>
      </c>
      <c r="G834" s="12">
        <v>45376</v>
      </c>
      <c r="H834" s="12">
        <v>44947</v>
      </c>
      <c r="I834" t="e">
        <f t="shared" si="12"/>
        <v>#NUM!</v>
      </c>
    </row>
    <row r="835" spans="1:9" x14ac:dyDescent="0.3">
      <c r="A835" s="11">
        <v>34564</v>
      </c>
      <c r="B835" s="11" t="s">
        <v>16</v>
      </c>
      <c r="C835" s="11" t="s">
        <v>41</v>
      </c>
      <c r="D835" s="11">
        <v>110.41</v>
      </c>
      <c r="E835" s="11">
        <v>4</v>
      </c>
      <c r="F835" s="11">
        <v>441.64</v>
      </c>
      <c r="G835" s="12">
        <v>45062</v>
      </c>
      <c r="H835" s="12">
        <v>45477</v>
      </c>
      <c r="I835">
        <f t="shared" ref="I835:I898" si="13">IF(DATEDIF(G835,H835,"d") &gt; 15,1,0)</f>
        <v>1</v>
      </c>
    </row>
    <row r="836" spans="1:9" x14ac:dyDescent="0.3">
      <c r="A836" s="11">
        <v>80772</v>
      </c>
      <c r="B836" s="11" t="s">
        <v>8</v>
      </c>
      <c r="C836" s="11" t="s">
        <v>36</v>
      </c>
      <c r="D836" s="11">
        <v>596.97</v>
      </c>
      <c r="E836" s="11">
        <v>39</v>
      </c>
      <c r="F836" s="11">
        <v>23281.83</v>
      </c>
      <c r="G836" s="12">
        <v>45036</v>
      </c>
      <c r="H836" s="12">
        <v>45473</v>
      </c>
      <c r="I836">
        <f t="shared" si="13"/>
        <v>1</v>
      </c>
    </row>
    <row r="837" spans="1:9" x14ac:dyDescent="0.3">
      <c r="A837" s="11">
        <v>74228</v>
      </c>
      <c r="B837" s="11" t="s">
        <v>19</v>
      </c>
      <c r="C837" s="11" t="s">
        <v>65</v>
      </c>
      <c r="D837" s="11">
        <v>753.12</v>
      </c>
      <c r="E837" s="11">
        <v>24</v>
      </c>
      <c r="F837" s="11">
        <v>18074.88</v>
      </c>
      <c r="G837" s="12">
        <v>45646</v>
      </c>
      <c r="H837" s="12">
        <v>45397</v>
      </c>
      <c r="I837" t="e">
        <f t="shared" si="13"/>
        <v>#NUM!</v>
      </c>
    </row>
    <row r="838" spans="1:9" x14ac:dyDescent="0.3">
      <c r="A838" s="11">
        <v>37976</v>
      </c>
      <c r="B838" s="11" t="s">
        <v>9</v>
      </c>
      <c r="C838" s="11" t="s">
        <v>48</v>
      </c>
      <c r="D838" s="11">
        <v>93.68</v>
      </c>
      <c r="E838" s="11">
        <v>35</v>
      </c>
      <c r="F838" s="11">
        <v>3278.8</v>
      </c>
      <c r="G838" s="12">
        <v>45248</v>
      </c>
      <c r="H838" s="12">
        <v>45116</v>
      </c>
      <c r="I838" t="e">
        <f t="shared" si="13"/>
        <v>#NUM!</v>
      </c>
    </row>
    <row r="839" spans="1:9" x14ac:dyDescent="0.3">
      <c r="A839" s="11">
        <v>60791</v>
      </c>
      <c r="B839" s="11" t="s">
        <v>13</v>
      </c>
      <c r="C839" s="11" t="s">
        <v>46</v>
      </c>
      <c r="D839" s="11">
        <v>617.33000000000004</v>
      </c>
      <c r="E839" s="11">
        <v>24</v>
      </c>
      <c r="F839" s="11">
        <v>14815.92</v>
      </c>
      <c r="G839" s="12">
        <v>45256</v>
      </c>
      <c r="H839" s="12">
        <v>45185</v>
      </c>
      <c r="I839" t="e">
        <f t="shared" si="13"/>
        <v>#NUM!</v>
      </c>
    </row>
    <row r="840" spans="1:9" x14ac:dyDescent="0.3">
      <c r="A840" s="11">
        <v>79327</v>
      </c>
      <c r="B840" s="11" t="s">
        <v>10</v>
      </c>
      <c r="C840" s="11" t="s">
        <v>60</v>
      </c>
      <c r="D840" s="11">
        <v>184.57</v>
      </c>
      <c r="E840" s="11">
        <v>34</v>
      </c>
      <c r="F840" s="11">
        <v>6275.38</v>
      </c>
      <c r="G840" s="12">
        <v>45431</v>
      </c>
      <c r="H840" s="12">
        <v>45230</v>
      </c>
      <c r="I840" t="e">
        <f t="shared" si="13"/>
        <v>#NUM!</v>
      </c>
    </row>
    <row r="841" spans="1:9" x14ac:dyDescent="0.3">
      <c r="A841" s="11">
        <v>47458</v>
      </c>
      <c r="B841" s="11" t="s">
        <v>22</v>
      </c>
      <c r="C841" s="11" t="s">
        <v>41</v>
      </c>
      <c r="D841" s="11">
        <v>110.41</v>
      </c>
      <c r="E841" s="11">
        <v>9</v>
      </c>
      <c r="F841" s="11">
        <v>993.69</v>
      </c>
      <c r="G841" s="12">
        <v>45370</v>
      </c>
      <c r="H841" s="12">
        <v>45185</v>
      </c>
      <c r="I841" t="e">
        <f t="shared" si="13"/>
        <v>#NUM!</v>
      </c>
    </row>
    <row r="842" spans="1:9" x14ac:dyDescent="0.3">
      <c r="A842" s="11">
        <v>69887</v>
      </c>
      <c r="B842" s="11" t="s">
        <v>14</v>
      </c>
      <c r="C842" s="11" t="s">
        <v>52</v>
      </c>
      <c r="D842" s="11">
        <v>323.73</v>
      </c>
      <c r="E842" s="11">
        <v>21</v>
      </c>
      <c r="F842" s="11">
        <v>6798.33</v>
      </c>
      <c r="G842" s="12">
        <v>45607</v>
      </c>
      <c r="H842" s="12">
        <v>45481</v>
      </c>
      <c r="I842" t="e">
        <f t="shared" si="13"/>
        <v>#NUM!</v>
      </c>
    </row>
    <row r="843" spans="1:9" x14ac:dyDescent="0.3">
      <c r="A843" s="11">
        <v>22908</v>
      </c>
      <c r="B843" s="11" t="s">
        <v>19</v>
      </c>
      <c r="C843" s="11" t="s">
        <v>36</v>
      </c>
      <c r="D843" s="11">
        <v>596.97</v>
      </c>
      <c r="E843" s="11">
        <v>23</v>
      </c>
      <c r="F843" s="11">
        <v>13730.31</v>
      </c>
      <c r="G843" s="12">
        <v>45413</v>
      </c>
      <c r="H843" s="12">
        <v>45494</v>
      </c>
      <c r="I843">
        <f t="shared" si="13"/>
        <v>1</v>
      </c>
    </row>
    <row r="844" spans="1:9" x14ac:dyDescent="0.3">
      <c r="A844" s="11">
        <v>48224</v>
      </c>
      <c r="B844" s="11" t="s">
        <v>10</v>
      </c>
      <c r="C844" s="11" t="s">
        <v>36</v>
      </c>
      <c r="D844" s="11">
        <v>596.97</v>
      </c>
      <c r="E844" s="11">
        <v>45</v>
      </c>
      <c r="F844" s="11">
        <v>26863.65</v>
      </c>
      <c r="G844" s="12">
        <v>45348</v>
      </c>
      <c r="H844" s="12">
        <v>45459</v>
      </c>
      <c r="I844">
        <f t="shared" si="13"/>
        <v>1</v>
      </c>
    </row>
    <row r="845" spans="1:9" x14ac:dyDescent="0.3">
      <c r="A845" s="11">
        <v>62876</v>
      </c>
      <c r="B845" s="11" t="s">
        <v>16</v>
      </c>
      <c r="C845" s="11" t="s">
        <v>30</v>
      </c>
      <c r="D845" s="11">
        <v>68.05</v>
      </c>
      <c r="E845" s="11">
        <v>14</v>
      </c>
      <c r="F845" s="11">
        <v>952.7</v>
      </c>
      <c r="G845" s="12">
        <v>45340</v>
      </c>
      <c r="H845" s="12">
        <v>45357</v>
      </c>
      <c r="I845">
        <f t="shared" si="13"/>
        <v>1</v>
      </c>
    </row>
    <row r="846" spans="1:9" x14ac:dyDescent="0.3">
      <c r="A846" s="11">
        <v>55192</v>
      </c>
      <c r="B846" s="11" t="s">
        <v>24</v>
      </c>
      <c r="C846" s="11" t="s">
        <v>57</v>
      </c>
      <c r="D846" s="11">
        <v>404.9</v>
      </c>
      <c r="E846" s="11">
        <v>23</v>
      </c>
      <c r="F846" s="11">
        <v>9312.7000000000007</v>
      </c>
      <c r="G846" s="12">
        <v>45470</v>
      </c>
      <c r="H846" s="12">
        <v>45029</v>
      </c>
      <c r="I846" t="e">
        <f t="shared" si="13"/>
        <v>#NUM!</v>
      </c>
    </row>
    <row r="847" spans="1:9" x14ac:dyDescent="0.3">
      <c r="A847" s="11">
        <v>87861</v>
      </c>
      <c r="B847" s="11" t="s">
        <v>26</v>
      </c>
      <c r="C847" s="11" t="s">
        <v>68</v>
      </c>
      <c r="D847" s="11">
        <v>795.19</v>
      </c>
      <c r="E847" s="11">
        <v>9</v>
      </c>
      <c r="F847" s="11">
        <v>7156.71</v>
      </c>
      <c r="G847" s="12">
        <v>45563</v>
      </c>
      <c r="H847" s="12">
        <v>45080</v>
      </c>
      <c r="I847" t="e">
        <f t="shared" si="13"/>
        <v>#NUM!</v>
      </c>
    </row>
    <row r="848" spans="1:9" x14ac:dyDescent="0.3">
      <c r="A848" s="11">
        <v>90939</v>
      </c>
      <c r="B848" s="11" t="s">
        <v>12</v>
      </c>
      <c r="C848" s="11" t="s">
        <v>51</v>
      </c>
      <c r="D848" s="11">
        <v>533.15</v>
      </c>
      <c r="E848" s="11">
        <v>16</v>
      </c>
      <c r="F848" s="11">
        <v>8530.4</v>
      </c>
      <c r="G848" s="12">
        <v>45581</v>
      </c>
      <c r="H848" s="12">
        <v>45470</v>
      </c>
      <c r="I848" t="e">
        <f t="shared" si="13"/>
        <v>#NUM!</v>
      </c>
    </row>
    <row r="849" spans="1:9" x14ac:dyDescent="0.3">
      <c r="A849" s="11">
        <v>66981</v>
      </c>
      <c r="B849" s="11" t="s">
        <v>26</v>
      </c>
      <c r="C849" s="11" t="s">
        <v>43</v>
      </c>
      <c r="D849" s="11">
        <v>608.37</v>
      </c>
      <c r="E849" s="11">
        <v>39</v>
      </c>
      <c r="F849" s="11">
        <v>23726.43</v>
      </c>
      <c r="G849" s="12">
        <v>45037</v>
      </c>
      <c r="H849" s="12">
        <v>45024</v>
      </c>
      <c r="I849" t="e">
        <f t="shared" si="13"/>
        <v>#NUM!</v>
      </c>
    </row>
    <row r="850" spans="1:9" x14ac:dyDescent="0.3">
      <c r="A850" s="11">
        <v>36788</v>
      </c>
      <c r="B850" s="11" t="s">
        <v>9</v>
      </c>
      <c r="C850" s="11" t="s">
        <v>49</v>
      </c>
      <c r="D850" s="11">
        <v>534.77</v>
      </c>
      <c r="E850" s="11">
        <v>38</v>
      </c>
      <c r="F850" s="11">
        <v>20321.259999999998</v>
      </c>
      <c r="G850" s="12">
        <v>44977</v>
      </c>
      <c r="H850" s="12">
        <v>45261</v>
      </c>
      <c r="I850">
        <f t="shared" si="13"/>
        <v>1</v>
      </c>
    </row>
    <row r="851" spans="1:9" x14ac:dyDescent="0.3">
      <c r="A851" s="11">
        <v>20536</v>
      </c>
      <c r="B851" s="11" t="s">
        <v>10</v>
      </c>
      <c r="C851" s="11" t="s">
        <v>65</v>
      </c>
      <c r="D851" s="11">
        <v>753.12</v>
      </c>
      <c r="E851" s="11">
        <v>1</v>
      </c>
      <c r="F851" s="11">
        <v>753.12</v>
      </c>
      <c r="G851" s="12">
        <v>45365</v>
      </c>
      <c r="H851" s="12">
        <v>45532</v>
      </c>
      <c r="I851">
        <f t="shared" si="13"/>
        <v>1</v>
      </c>
    </row>
    <row r="852" spans="1:9" x14ac:dyDescent="0.3">
      <c r="A852" s="11">
        <v>78231</v>
      </c>
      <c r="B852" s="11" t="s">
        <v>25</v>
      </c>
      <c r="C852" s="11" t="s">
        <v>64</v>
      </c>
      <c r="D852" s="11">
        <v>796.51</v>
      </c>
      <c r="E852" s="11">
        <v>18</v>
      </c>
      <c r="F852" s="11">
        <v>14337.18</v>
      </c>
      <c r="G852" s="12">
        <v>45008</v>
      </c>
      <c r="H852" s="12">
        <v>45207</v>
      </c>
      <c r="I852">
        <f t="shared" si="13"/>
        <v>1</v>
      </c>
    </row>
    <row r="853" spans="1:9" x14ac:dyDescent="0.3">
      <c r="A853" s="11">
        <v>99076</v>
      </c>
      <c r="B853" s="11" t="s">
        <v>13</v>
      </c>
      <c r="C853" s="11" t="s">
        <v>73</v>
      </c>
      <c r="D853" s="11">
        <v>890.84</v>
      </c>
      <c r="E853" s="11">
        <v>16</v>
      </c>
      <c r="F853" s="11">
        <v>14253.44</v>
      </c>
      <c r="G853" s="12">
        <v>45052</v>
      </c>
      <c r="H853" s="12">
        <v>45531</v>
      </c>
      <c r="I853">
        <f t="shared" si="13"/>
        <v>1</v>
      </c>
    </row>
    <row r="854" spans="1:9" x14ac:dyDescent="0.3">
      <c r="A854" s="11">
        <v>89544</v>
      </c>
      <c r="B854" s="11" t="s">
        <v>16</v>
      </c>
      <c r="C854" s="11" t="s">
        <v>77</v>
      </c>
      <c r="D854" s="11">
        <v>761.92</v>
      </c>
      <c r="E854" s="11">
        <v>50</v>
      </c>
      <c r="F854" s="11">
        <v>38096</v>
      </c>
      <c r="G854" s="12">
        <v>45184</v>
      </c>
      <c r="H854" s="12">
        <v>44980</v>
      </c>
      <c r="I854" t="e">
        <f t="shared" si="13"/>
        <v>#NUM!</v>
      </c>
    </row>
    <row r="855" spans="1:9" x14ac:dyDescent="0.3">
      <c r="A855" s="11">
        <v>63828</v>
      </c>
      <c r="B855" s="11" t="s">
        <v>18</v>
      </c>
      <c r="C855" s="11" t="s">
        <v>75</v>
      </c>
      <c r="D855" s="11">
        <v>325</v>
      </c>
      <c r="E855" s="11">
        <v>19</v>
      </c>
      <c r="F855" s="11">
        <v>6175</v>
      </c>
      <c r="G855" s="12">
        <v>45044</v>
      </c>
      <c r="H855" s="12">
        <v>45008</v>
      </c>
      <c r="I855" t="e">
        <f t="shared" si="13"/>
        <v>#NUM!</v>
      </c>
    </row>
    <row r="856" spans="1:9" x14ac:dyDescent="0.3">
      <c r="A856" s="11">
        <v>11570</v>
      </c>
      <c r="B856" s="11" t="s">
        <v>21</v>
      </c>
      <c r="C856" s="11" t="s">
        <v>50</v>
      </c>
      <c r="D856" s="11">
        <v>468.95</v>
      </c>
      <c r="E856" s="11">
        <v>41</v>
      </c>
      <c r="F856" s="11">
        <v>19226.95</v>
      </c>
      <c r="G856" s="12">
        <v>44998</v>
      </c>
      <c r="H856" s="12">
        <v>45210</v>
      </c>
      <c r="I856">
        <f t="shared" si="13"/>
        <v>1</v>
      </c>
    </row>
    <row r="857" spans="1:9" x14ac:dyDescent="0.3">
      <c r="A857" s="11">
        <v>34726</v>
      </c>
      <c r="B857" s="11" t="s">
        <v>15</v>
      </c>
      <c r="C857" s="11" t="s">
        <v>53</v>
      </c>
      <c r="D857" s="11">
        <v>972.24</v>
      </c>
      <c r="E857" s="11">
        <v>29</v>
      </c>
      <c r="F857" s="11">
        <v>28194.959999999999</v>
      </c>
      <c r="G857" s="12">
        <v>45413</v>
      </c>
      <c r="H857" s="12">
        <v>45574</v>
      </c>
      <c r="I857">
        <f t="shared" si="13"/>
        <v>1</v>
      </c>
    </row>
    <row r="858" spans="1:9" x14ac:dyDescent="0.3">
      <c r="A858" s="11">
        <v>79706</v>
      </c>
      <c r="B858" s="11" t="s">
        <v>26</v>
      </c>
      <c r="C858" s="11" t="s">
        <v>37</v>
      </c>
      <c r="D858" s="11">
        <v>796.94</v>
      </c>
      <c r="E858" s="11">
        <v>6</v>
      </c>
      <c r="F858" s="11">
        <v>4781.6400000000003</v>
      </c>
      <c r="G858" s="12">
        <v>45057</v>
      </c>
      <c r="H858" s="12">
        <v>45022</v>
      </c>
      <c r="I858" t="e">
        <f t="shared" si="13"/>
        <v>#NUM!</v>
      </c>
    </row>
    <row r="859" spans="1:9" x14ac:dyDescent="0.3">
      <c r="A859" s="11">
        <v>93384</v>
      </c>
      <c r="B859" s="11" t="s">
        <v>15</v>
      </c>
      <c r="C859" s="11" t="s">
        <v>73</v>
      </c>
      <c r="D859" s="11">
        <v>890.84</v>
      </c>
      <c r="E859" s="11">
        <v>44</v>
      </c>
      <c r="F859" s="11">
        <v>39196.959999999999</v>
      </c>
      <c r="G859" s="12">
        <v>45652</v>
      </c>
      <c r="H859" s="12">
        <v>45353</v>
      </c>
      <c r="I859" t="e">
        <f t="shared" si="13"/>
        <v>#NUM!</v>
      </c>
    </row>
    <row r="860" spans="1:9" x14ac:dyDescent="0.3">
      <c r="A860" s="11">
        <v>99189</v>
      </c>
      <c r="B860" s="11" t="s">
        <v>10</v>
      </c>
      <c r="C860" s="11" t="s">
        <v>43</v>
      </c>
      <c r="D860" s="11">
        <v>608.37</v>
      </c>
      <c r="E860" s="11">
        <v>21</v>
      </c>
      <c r="F860" s="11">
        <v>12775.77</v>
      </c>
      <c r="G860" s="12">
        <v>45218</v>
      </c>
      <c r="H860" s="12">
        <v>45268</v>
      </c>
      <c r="I860">
        <f t="shared" si="13"/>
        <v>1</v>
      </c>
    </row>
    <row r="861" spans="1:9" x14ac:dyDescent="0.3">
      <c r="A861" s="11">
        <v>93337</v>
      </c>
      <c r="B861" s="11" t="s">
        <v>23</v>
      </c>
      <c r="C861" s="11" t="s">
        <v>34</v>
      </c>
      <c r="D861" s="11">
        <v>222.47</v>
      </c>
      <c r="E861" s="11">
        <v>32</v>
      </c>
      <c r="F861" s="11">
        <v>7119.04</v>
      </c>
      <c r="G861" s="12">
        <v>45135</v>
      </c>
      <c r="H861" s="12">
        <v>45618</v>
      </c>
      <c r="I861">
        <f t="shared" si="13"/>
        <v>1</v>
      </c>
    </row>
    <row r="862" spans="1:9" x14ac:dyDescent="0.3">
      <c r="A862" s="11">
        <v>32764</v>
      </c>
      <c r="B862" s="11" t="s">
        <v>25</v>
      </c>
      <c r="C862" s="11" t="s">
        <v>62</v>
      </c>
      <c r="D862" s="11">
        <v>474.55</v>
      </c>
      <c r="E862" s="11">
        <v>45</v>
      </c>
      <c r="F862" s="11">
        <v>21354.75</v>
      </c>
      <c r="G862" s="12">
        <v>45241</v>
      </c>
      <c r="H862" s="12">
        <v>44961</v>
      </c>
      <c r="I862" t="e">
        <f t="shared" si="13"/>
        <v>#NUM!</v>
      </c>
    </row>
    <row r="863" spans="1:9" x14ac:dyDescent="0.3">
      <c r="A863" s="11">
        <v>18504</v>
      </c>
      <c r="B863" s="11" t="s">
        <v>20</v>
      </c>
      <c r="C863" s="11" t="s">
        <v>58</v>
      </c>
      <c r="D863" s="11">
        <v>988.73</v>
      </c>
      <c r="E863" s="11">
        <v>5</v>
      </c>
      <c r="F863" s="11">
        <v>4943.6499999999996</v>
      </c>
      <c r="G863" s="12">
        <v>45412</v>
      </c>
      <c r="H863" s="12">
        <v>45024</v>
      </c>
      <c r="I863" t="e">
        <f t="shared" si="13"/>
        <v>#NUM!</v>
      </c>
    </row>
    <row r="864" spans="1:9" x14ac:dyDescent="0.3">
      <c r="A864" s="11">
        <v>82356</v>
      </c>
      <c r="B864" s="11" t="s">
        <v>21</v>
      </c>
      <c r="C864" s="11" t="s">
        <v>35</v>
      </c>
      <c r="D864" s="11">
        <v>101.12</v>
      </c>
      <c r="E864" s="11">
        <v>11</v>
      </c>
      <c r="F864" s="11">
        <v>1112.32</v>
      </c>
      <c r="G864" s="12">
        <v>44963</v>
      </c>
      <c r="H864" s="12">
        <v>45443</v>
      </c>
      <c r="I864">
        <f t="shared" si="13"/>
        <v>1</v>
      </c>
    </row>
    <row r="865" spans="1:9" x14ac:dyDescent="0.3">
      <c r="A865" s="11">
        <v>91301</v>
      </c>
      <c r="B865" s="11" t="s">
        <v>13</v>
      </c>
      <c r="C865" s="11" t="s">
        <v>64</v>
      </c>
      <c r="D865" s="11">
        <v>796.51</v>
      </c>
      <c r="E865" s="11">
        <v>29</v>
      </c>
      <c r="F865" s="11">
        <v>23098.79</v>
      </c>
      <c r="G865" s="12">
        <v>45366</v>
      </c>
      <c r="H865" s="12">
        <v>45187</v>
      </c>
      <c r="I865" t="e">
        <f t="shared" si="13"/>
        <v>#NUM!</v>
      </c>
    </row>
    <row r="866" spans="1:9" x14ac:dyDescent="0.3">
      <c r="A866" s="11">
        <v>33128</v>
      </c>
      <c r="B866" s="11" t="s">
        <v>25</v>
      </c>
      <c r="C866" s="11" t="s">
        <v>41</v>
      </c>
      <c r="D866" s="11">
        <v>110.41</v>
      </c>
      <c r="E866" s="11">
        <v>1</v>
      </c>
      <c r="F866" s="11">
        <v>110.41</v>
      </c>
      <c r="G866" s="12">
        <v>45132</v>
      </c>
      <c r="H866" s="12">
        <v>45030</v>
      </c>
      <c r="I866" t="e">
        <f t="shared" si="13"/>
        <v>#NUM!</v>
      </c>
    </row>
    <row r="867" spans="1:9" x14ac:dyDescent="0.3">
      <c r="A867" s="11">
        <v>20986</v>
      </c>
      <c r="B867" s="11" t="s">
        <v>15</v>
      </c>
      <c r="C867" s="11" t="s">
        <v>45</v>
      </c>
      <c r="D867" s="11">
        <v>366.3</v>
      </c>
      <c r="E867" s="11">
        <v>31</v>
      </c>
      <c r="F867" s="11">
        <v>11355.3</v>
      </c>
      <c r="G867" s="12">
        <v>45444</v>
      </c>
      <c r="H867" s="12">
        <v>45020</v>
      </c>
      <c r="I867" t="e">
        <f t="shared" si="13"/>
        <v>#NUM!</v>
      </c>
    </row>
    <row r="868" spans="1:9" x14ac:dyDescent="0.3">
      <c r="A868" s="11">
        <v>35625</v>
      </c>
      <c r="B868" s="11" t="s">
        <v>23</v>
      </c>
      <c r="C868" s="11" t="s">
        <v>49</v>
      </c>
      <c r="D868" s="11">
        <v>534.77</v>
      </c>
      <c r="E868" s="11">
        <v>27</v>
      </c>
      <c r="F868" s="11">
        <v>14438.79</v>
      </c>
      <c r="G868" s="12">
        <v>44992</v>
      </c>
      <c r="H868" s="12">
        <v>45418</v>
      </c>
      <c r="I868">
        <f t="shared" si="13"/>
        <v>1</v>
      </c>
    </row>
    <row r="869" spans="1:9" x14ac:dyDescent="0.3">
      <c r="A869" s="11">
        <v>80031</v>
      </c>
      <c r="B869" s="11" t="s">
        <v>15</v>
      </c>
      <c r="C869" s="11" t="s">
        <v>63</v>
      </c>
      <c r="D869" s="11">
        <v>611.66</v>
      </c>
      <c r="E869" s="11">
        <v>47</v>
      </c>
      <c r="F869" s="11">
        <v>28748.02</v>
      </c>
      <c r="G869" s="12">
        <v>45262</v>
      </c>
      <c r="H869" s="12">
        <v>45400</v>
      </c>
      <c r="I869">
        <f t="shared" si="13"/>
        <v>1</v>
      </c>
    </row>
    <row r="870" spans="1:9" x14ac:dyDescent="0.3">
      <c r="A870" s="11">
        <v>14947</v>
      </c>
      <c r="B870" s="11" t="s">
        <v>14</v>
      </c>
      <c r="C870" s="11" t="s">
        <v>62</v>
      </c>
      <c r="D870" s="11">
        <v>474.55</v>
      </c>
      <c r="E870" s="11">
        <v>35</v>
      </c>
      <c r="F870" s="11">
        <v>16609.25</v>
      </c>
      <c r="G870" s="12">
        <v>45036</v>
      </c>
      <c r="H870" s="12">
        <v>44966</v>
      </c>
      <c r="I870" t="e">
        <f t="shared" si="13"/>
        <v>#NUM!</v>
      </c>
    </row>
    <row r="871" spans="1:9" x14ac:dyDescent="0.3">
      <c r="A871" s="11">
        <v>77955</v>
      </c>
      <c r="B871" s="11" t="s">
        <v>26</v>
      </c>
      <c r="C871" s="11" t="s">
        <v>46</v>
      </c>
      <c r="D871" s="11">
        <v>617.33000000000004</v>
      </c>
      <c r="E871" s="11">
        <v>40</v>
      </c>
      <c r="F871" s="11">
        <v>24693.200000000001</v>
      </c>
      <c r="G871" s="12">
        <v>44990</v>
      </c>
      <c r="H871" s="12">
        <v>45296</v>
      </c>
      <c r="I871">
        <f t="shared" si="13"/>
        <v>1</v>
      </c>
    </row>
    <row r="872" spans="1:9" x14ac:dyDescent="0.3">
      <c r="A872" s="11">
        <v>19819</v>
      </c>
      <c r="B872" s="11" t="s">
        <v>14</v>
      </c>
      <c r="C872" s="11" t="s">
        <v>40</v>
      </c>
      <c r="D872" s="11">
        <v>875.47</v>
      </c>
      <c r="E872" s="11">
        <v>9</v>
      </c>
      <c r="F872" s="11">
        <v>7879.23</v>
      </c>
      <c r="G872" s="12">
        <v>45115</v>
      </c>
      <c r="H872" s="12">
        <v>45114</v>
      </c>
      <c r="I872" t="e">
        <f t="shared" si="13"/>
        <v>#NUM!</v>
      </c>
    </row>
    <row r="873" spans="1:9" x14ac:dyDescent="0.3">
      <c r="A873" s="11">
        <v>54778</v>
      </c>
      <c r="B873" s="11" t="s">
        <v>15</v>
      </c>
      <c r="C873" s="11" t="s">
        <v>61</v>
      </c>
      <c r="D873" s="11">
        <v>705.68</v>
      </c>
      <c r="E873" s="11">
        <v>18</v>
      </c>
      <c r="F873" s="11">
        <v>12702.24</v>
      </c>
      <c r="G873" s="12">
        <v>45230</v>
      </c>
      <c r="H873" s="12">
        <v>45301</v>
      </c>
      <c r="I873">
        <f t="shared" si="13"/>
        <v>1</v>
      </c>
    </row>
    <row r="874" spans="1:9" x14ac:dyDescent="0.3">
      <c r="A874" s="11">
        <v>89428</v>
      </c>
      <c r="B874" s="11" t="s">
        <v>20</v>
      </c>
      <c r="C874" s="11" t="s">
        <v>61</v>
      </c>
      <c r="D874" s="11">
        <v>705.68</v>
      </c>
      <c r="E874" s="11">
        <v>22</v>
      </c>
      <c r="F874" s="11">
        <v>15524.96</v>
      </c>
      <c r="G874" s="12">
        <v>45629</v>
      </c>
      <c r="H874" s="12">
        <v>45441</v>
      </c>
      <c r="I874" t="e">
        <f t="shared" si="13"/>
        <v>#NUM!</v>
      </c>
    </row>
    <row r="875" spans="1:9" x14ac:dyDescent="0.3">
      <c r="A875" s="11">
        <v>62503</v>
      </c>
      <c r="B875" s="11" t="s">
        <v>24</v>
      </c>
      <c r="C875" s="11" t="s">
        <v>29</v>
      </c>
      <c r="D875" s="11">
        <v>683.98</v>
      </c>
      <c r="E875" s="11">
        <v>45</v>
      </c>
      <c r="F875" s="11">
        <v>30779.1</v>
      </c>
      <c r="G875" s="12">
        <v>45060</v>
      </c>
      <c r="H875" s="12">
        <v>45445</v>
      </c>
      <c r="I875">
        <f t="shared" si="13"/>
        <v>1</v>
      </c>
    </row>
    <row r="876" spans="1:9" x14ac:dyDescent="0.3">
      <c r="A876" s="11">
        <v>32021</v>
      </c>
      <c r="B876" s="11" t="s">
        <v>24</v>
      </c>
      <c r="C876" s="11" t="s">
        <v>71</v>
      </c>
      <c r="D876" s="11">
        <v>870.6</v>
      </c>
      <c r="E876" s="11">
        <v>24</v>
      </c>
      <c r="F876" s="11">
        <v>20894.400000000001</v>
      </c>
      <c r="G876" s="12">
        <v>45383</v>
      </c>
      <c r="H876" s="12">
        <v>45312</v>
      </c>
      <c r="I876" t="e">
        <f t="shared" si="13"/>
        <v>#NUM!</v>
      </c>
    </row>
    <row r="877" spans="1:9" x14ac:dyDescent="0.3">
      <c r="A877" s="11">
        <v>44772</v>
      </c>
      <c r="B877" s="11" t="s">
        <v>8</v>
      </c>
      <c r="C877" s="11" t="s">
        <v>38</v>
      </c>
      <c r="D877" s="11">
        <v>233.83</v>
      </c>
      <c r="E877" s="11">
        <v>47</v>
      </c>
      <c r="F877" s="11">
        <v>10990.01</v>
      </c>
      <c r="G877" s="12">
        <v>45432</v>
      </c>
      <c r="H877" s="12">
        <v>45542</v>
      </c>
      <c r="I877">
        <f t="shared" si="13"/>
        <v>1</v>
      </c>
    </row>
    <row r="878" spans="1:9" x14ac:dyDescent="0.3">
      <c r="A878" s="11">
        <v>33633</v>
      </c>
      <c r="B878" s="11" t="s">
        <v>9</v>
      </c>
      <c r="C878" s="11" t="s">
        <v>64</v>
      </c>
      <c r="D878" s="11">
        <v>796.51</v>
      </c>
      <c r="E878" s="11">
        <v>18</v>
      </c>
      <c r="F878" s="11">
        <v>14337.18</v>
      </c>
      <c r="G878" s="12">
        <v>45089</v>
      </c>
      <c r="H878" s="12">
        <v>45149</v>
      </c>
      <c r="I878">
        <f t="shared" si="13"/>
        <v>1</v>
      </c>
    </row>
    <row r="879" spans="1:9" x14ac:dyDescent="0.3">
      <c r="A879" s="11">
        <v>89864</v>
      </c>
      <c r="B879" s="11" t="s">
        <v>14</v>
      </c>
      <c r="C879" s="11" t="s">
        <v>35</v>
      </c>
      <c r="D879" s="11">
        <v>101.12</v>
      </c>
      <c r="E879" s="11">
        <v>26</v>
      </c>
      <c r="F879" s="11">
        <v>2629.12</v>
      </c>
      <c r="G879" s="12">
        <v>45064</v>
      </c>
      <c r="H879" s="12">
        <v>45081</v>
      </c>
      <c r="I879">
        <f t="shared" si="13"/>
        <v>1</v>
      </c>
    </row>
    <row r="880" spans="1:9" x14ac:dyDescent="0.3">
      <c r="A880" s="11">
        <v>38289</v>
      </c>
      <c r="B880" s="11" t="s">
        <v>21</v>
      </c>
      <c r="C880" s="11" t="s">
        <v>40</v>
      </c>
      <c r="D880" s="11">
        <v>875.47</v>
      </c>
      <c r="E880" s="11">
        <v>2</v>
      </c>
      <c r="F880" s="11">
        <v>1750.94</v>
      </c>
      <c r="G880" s="12">
        <v>45414</v>
      </c>
      <c r="H880" s="12">
        <v>45484</v>
      </c>
      <c r="I880">
        <f t="shared" si="13"/>
        <v>1</v>
      </c>
    </row>
    <row r="881" spans="1:9" x14ac:dyDescent="0.3">
      <c r="A881" s="11">
        <v>38085</v>
      </c>
      <c r="B881" s="11" t="s">
        <v>13</v>
      </c>
      <c r="C881" s="11" t="s">
        <v>29</v>
      </c>
      <c r="D881" s="11">
        <v>683.98</v>
      </c>
      <c r="E881" s="11">
        <v>7</v>
      </c>
      <c r="F881" s="11">
        <v>4787.8599999999997</v>
      </c>
      <c r="G881" s="12">
        <v>45418</v>
      </c>
      <c r="H881" s="12">
        <v>45526</v>
      </c>
      <c r="I881">
        <f t="shared" si="13"/>
        <v>1</v>
      </c>
    </row>
    <row r="882" spans="1:9" x14ac:dyDescent="0.3">
      <c r="A882" s="11">
        <v>19101</v>
      </c>
      <c r="B882" s="11" t="s">
        <v>20</v>
      </c>
      <c r="C882" s="11" t="s">
        <v>75</v>
      </c>
      <c r="D882" s="11">
        <v>325</v>
      </c>
      <c r="E882" s="11">
        <v>27</v>
      </c>
      <c r="F882" s="11">
        <v>8775</v>
      </c>
      <c r="G882" s="12">
        <v>45036</v>
      </c>
      <c r="H882" s="12">
        <v>45489</v>
      </c>
      <c r="I882">
        <f t="shared" si="13"/>
        <v>1</v>
      </c>
    </row>
    <row r="883" spans="1:9" x14ac:dyDescent="0.3">
      <c r="A883" s="11">
        <v>16193</v>
      </c>
      <c r="B883" s="11" t="s">
        <v>12</v>
      </c>
      <c r="C883" s="11" t="s">
        <v>54</v>
      </c>
      <c r="D883" s="11">
        <v>730.09</v>
      </c>
      <c r="E883" s="11">
        <v>15</v>
      </c>
      <c r="F883" s="11">
        <v>10951.35</v>
      </c>
      <c r="G883" s="12">
        <v>45374</v>
      </c>
      <c r="H883" s="12">
        <v>45154</v>
      </c>
      <c r="I883" t="e">
        <f t="shared" si="13"/>
        <v>#NUM!</v>
      </c>
    </row>
    <row r="884" spans="1:9" x14ac:dyDescent="0.3">
      <c r="A884" s="11">
        <v>64388</v>
      </c>
      <c r="B884" s="11" t="s">
        <v>19</v>
      </c>
      <c r="C884" s="11" t="s">
        <v>76</v>
      </c>
      <c r="D884" s="11">
        <v>95.12</v>
      </c>
      <c r="E884" s="11">
        <v>16</v>
      </c>
      <c r="F884" s="11">
        <v>1521.92</v>
      </c>
      <c r="G884" s="12">
        <v>45220</v>
      </c>
      <c r="H884" s="12">
        <v>45090</v>
      </c>
      <c r="I884" t="e">
        <f t="shared" si="13"/>
        <v>#NUM!</v>
      </c>
    </row>
    <row r="885" spans="1:9" x14ac:dyDescent="0.3">
      <c r="A885" s="11">
        <v>99986</v>
      </c>
      <c r="B885" s="11" t="s">
        <v>16</v>
      </c>
      <c r="C885" s="11" t="s">
        <v>37</v>
      </c>
      <c r="D885" s="11">
        <v>796.94</v>
      </c>
      <c r="E885" s="11">
        <v>29</v>
      </c>
      <c r="F885" s="11">
        <v>23111.26</v>
      </c>
      <c r="G885" s="12">
        <v>44953</v>
      </c>
      <c r="H885" s="12">
        <v>45504</v>
      </c>
      <c r="I885">
        <f t="shared" si="13"/>
        <v>1</v>
      </c>
    </row>
    <row r="886" spans="1:9" x14ac:dyDescent="0.3">
      <c r="A886" s="11">
        <v>91126</v>
      </c>
      <c r="B886" s="11" t="s">
        <v>19</v>
      </c>
      <c r="C886" s="11" t="s">
        <v>73</v>
      </c>
      <c r="D886" s="11">
        <v>890.84</v>
      </c>
      <c r="E886" s="11">
        <v>6</v>
      </c>
      <c r="F886" s="11">
        <v>5345.04</v>
      </c>
      <c r="G886" s="12">
        <v>45654</v>
      </c>
      <c r="H886" s="12">
        <v>45083</v>
      </c>
      <c r="I886" t="e">
        <f t="shared" si="13"/>
        <v>#NUM!</v>
      </c>
    </row>
    <row r="887" spans="1:9" x14ac:dyDescent="0.3">
      <c r="A887" s="11">
        <v>23982</v>
      </c>
      <c r="B887" s="11" t="s">
        <v>27</v>
      </c>
      <c r="C887" s="11" t="s">
        <v>36</v>
      </c>
      <c r="D887" s="11">
        <v>596.97</v>
      </c>
      <c r="E887" s="11">
        <v>16</v>
      </c>
      <c r="F887" s="11">
        <v>9551.52</v>
      </c>
      <c r="G887" s="12">
        <v>45125</v>
      </c>
      <c r="H887" s="12">
        <v>45337</v>
      </c>
      <c r="I887">
        <f t="shared" si="13"/>
        <v>1</v>
      </c>
    </row>
    <row r="888" spans="1:9" x14ac:dyDescent="0.3">
      <c r="A888" s="11">
        <v>65275</v>
      </c>
      <c r="B888" s="11" t="s">
        <v>23</v>
      </c>
      <c r="C888" s="11" t="s">
        <v>52</v>
      </c>
      <c r="D888" s="11">
        <v>323.73</v>
      </c>
      <c r="E888" s="11">
        <v>35</v>
      </c>
      <c r="F888" s="11">
        <v>11330.55</v>
      </c>
      <c r="G888" s="12">
        <v>45539</v>
      </c>
      <c r="H888" s="12">
        <v>44997</v>
      </c>
      <c r="I888" t="e">
        <f t="shared" si="13"/>
        <v>#NUM!</v>
      </c>
    </row>
    <row r="889" spans="1:9" x14ac:dyDescent="0.3">
      <c r="A889" s="11">
        <v>87537</v>
      </c>
      <c r="B889" s="11" t="s">
        <v>11</v>
      </c>
      <c r="C889" s="11" t="s">
        <v>55</v>
      </c>
      <c r="D889" s="11">
        <v>399.32</v>
      </c>
      <c r="E889" s="11">
        <v>21</v>
      </c>
      <c r="F889" s="11">
        <v>8385.7199999999993</v>
      </c>
      <c r="G889" s="12">
        <v>45440</v>
      </c>
      <c r="H889" s="12">
        <v>45089</v>
      </c>
      <c r="I889" t="e">
        <f t="shared" si="13"/>
        <v>#NUM!</v>
      </c>
    </row>
    <row r="890" spans="1:9" x14ac:dyDescent="0.3">
      <c r="A890" s="11">
        <v>12008</v>
      </c>
      <c r="B890" s="11" t="s">
        <v>24</v>
      </c>
      <c r="C890" s="11" t="s">
        <v>49</v>
      </c>
      <c r="D890" s="11">
        <v>534.77</v>
      </c>
      <c r="E890" s="11">
        <v>22</v>
      </c>
      <c r="F890" s="11">
        <v>11764.94</v>
      </c>
      <c r="G890" s="12">
        <v>45415</v>
      </c>
      <c r="H890" s="12">
        <v>45624</v>
      </c>
      <c r="I890">
        <f t="shared" si="13"/>
        <v>1</v>
      </c>
    </row>
    <row r="891" spans="1:9" x14ac:dyDescent="0.3">
      <c r="A891" s="11">
        <v>64679</v>
      </c>
      <c r="B891" s="11" t="s">
        <v>17</v>
      </c>
      <c r="C891" s="11" t="s">
        <v>29</v>
      </c>
      <c r="D891" s="11">
        <v>683.98</v>
      </c>
      <c r="E891" s="11">
        <v>39</v>
      </c>
      <c r="F891" s="11">
        <v>26675.22</v>
      </c>
      <c r="G891" s="12">
        <v>45351</v>
      </c>
      <c r="H891" s="12">
        <v>45221</v>
      </c>
      <c r="I891" t="e">
        <f t="shared" si="13"/>
        <v>#NUM!</v>
      </c>
    </row>
    <row r="892" spans="1:9" x14ac:dyDescent="0.3">
      <c r="A892" s="11">
        <v>40307</v>
      </c>
      <c r="B892" s="11" t="s">
        <v>23</v>
      </c>
      <c r="C892" s="11" t="s">
        <v>39</v>
      </c>
      <c r="D892" s="11">
        <v>988.47</v>
      </c>
      <c r="E892" s="11">
        <v>31</v>
      </c>
      <c r="F892" s="11">
        <v>30642.57</v>
      </c>
      <c r="G892" s="12">
        <v>45522</v>
      </c>
      <c r="H892" s="12">
        <v>45371</v>
      </c>
      <c r="I892" t="e">
        <f t="shared" si="13"/>
        <v>#NUM!</v>
      </c>
    </row>
    <row r="893" spans="1:9" x14ac:dyDescent="0.3">
      <c r="A893" s="11">
        <v>94998</v>
      </c>
      <c r="B893" s="11" t="s">
        <v>8</v>
      </c>
      <c r="C893" s="11" t="s">
        <v>36</v>
      </c>
      <c r="D893" s="11">
        <v>596.97</v>
      </c>
      <c r="E893" s="11">
        <v>32</v>
      </c>
      <c r="F893" s="11">
        <v>19103.04</v>
      </c>
      <c r="G893" s="12">
        <v>45515</v>
      </c>
      <c r="H893" s="12">
        <v>45359</v>
      </c>
      <c r="I893" t="e">
        <f t="shared" si="13"/>
        <v>#NUM!</v>
      </c>
    </row>
    <row r="894" spans="1:9" x14ac:dyDescent="0.3">
      <c r="A894" s="11">
        <v>79764</v>
      </c>
      <c r="B894" s="11" t="s">
        <v>16</v>
      </c>
      <c r="C894" s="11" t="s">
        <v>70</v>
      </c>
      <c r="D894" s="11">
        <v>430.1</v>
      </c>
      <c r="E894" s="11">
        <v>42</v>
      </c>
      <c r="F894" s="11">
        <v>18064.2</v>
      </c>
      <c r="G894" s="12">
        <v>44995</v>
      </c>
      <c r="H894" s="12">
        <v>45384</v>
      </c>
      <c r="I894">
        <f t="shared" si="13"/>
        <v>1</v>
      </c>
    </row>
    <row r="895" spans="1:9" x14ac:dyDescent="0.3">
      <c r="A895" s="11">
        <v>40886</v>
      </c>
      <c r="B895" s="11" t="s">
        <v>9</v>
      </c>
      <c r="C895" s="11" t="s">
        <v>37</v>
      </c>
      <c r="D895" s="11">
        <v>796.94</v>
      </c>
      <c r="E895" s="11">
        <v>7</v>
      </c>
      <c r="F895" s="11">
        <v>5578.58</v>
      </c>
      <c r="G895" s="12">
        <v>45425</v>
      </c>
      <c r="H895" s="12">
        <v>45025</v>
      </c>
      <c r="I895" t="e">
        <f t="shared" si="13"/>
        <v>#NUM!</v>
      </c>
    </row>
    <row r="896" spans="1:9" x14ac:dyDescent="0.3">
      <c r="A896" s="11">
        <v>96481</v>
      </c>
      <c r="B896" s="11" t="s">
        <v>9</v>
      </c>
      <c r="C896" s="11" t="s">
        <v>39</v>
      </c>
      <c r="D896" s="11">
        <v>988.47</v>
      </c>
      <c r="E896" s="11">
        <v>34</v>
      </c>
      <c r="F896" s="11">
        <v>33607.980000000003</v>
      </c>
      <c r="G896" s="12">
        <v>44997</v>
      </c>
      <c r="H896" s="12">
        <v>45383</v>
      </c>
      <c r="I896">
        <f t="shared" si="13"/>
        <v>1</v>
      </c>
    </row>
    <row r="897" spans="1:9" x14ac:dyDescent="0.3">
      <c r="A897" s="11">
        <v>67072</v>
      </c>
      <c r="B897" s="11" t="s">
        <v>26</v>
      </c>
      <c r="C897" s="11" t="s">
        <v>49</v>
      </c>
      <c r="D897" s="11">
        <v>534.77</v>
      </c>
      <c r="E897" s="11">
        <v>31</v>
      </c>
      <c r="F897" s="11">
        <v>16577.87</v>
      </c>
      <c r="G897" s="12">
        <v>45655</v>
      </c>
      <c r="H897" s="12">
        <v>45064</v>
      </c>
      <c r="I897" t="e">
        <f t="shared" si="13"/>
        <v>#NUM!</v>
      </c>
    </row>
    <row r="898" spans="1:9" x14ac:dyDescent="0.3">
      <c r="A898" s="11">
        <v>99403</v>
      </c>
      <c r="B898" s="11" t="s">
        <v>23</v>
      </c>
      <c r="C898" s="11" t="s">
        <v>31</v>
      </c>
      <c r="D898" s="11">
        <v>449.74</v>
      </c>
      <c r="E898" s="11">
        <v>41</v>
      </c>
      <c r="F898" s="11">
        <v>18439.34</v>
      </c>
      <c r="G898" s="12">
        <v>45423</v>
      </c>
      <c r="H898" s="12">
        <v>45273</v>
      </c>
      <c r="I898" t="e">
        <f t="shared" si="13"/>
        <v>#NUM!</v>
      </c>
    </row>
    <row r="899" spans="1:9" x14ac:dyDescent="0.3">
      <c r="A899" s="11">
        <v>22977</v>
      </c>
      <c r="B899" s="11" t="s">
        <v>25</v>
      </c>
      <c r="C899" s="11" t="s">
        <v>53</v>
      </c>
      <c r="D899" s="11">
        <v>972.24</v>
      </c>
      <c r="E899" s="11">
        <v>25</v>
      </c>
      <c r="F899" s="11">
        <v>24306</v>
      </c>
      <c r="G899" s="12">
        <v>45668</v>
      </c>
      <c r="H899" s="12">
        <v>45394</v>
      </c>
      <c r="I899" t="e">
        <f t="shared" ref="I899:I962" si="14">IF(DATEDIF(G899,H899,"d") &gt; 15,1,0)</f>
        <v>#NUM!</v>
      </c>
    </row>
    <row r="900" spans="1:9" x14ac:dyDescent="0.3">
      <c r="A900" s="11">
        <v>94641</v>
      </c>
      <c r="B900" s="11" t="s">
        <v>13</v>
      </c>
      <c r="C900" s="11" t="s">
        <v>34</v>
      </c>
      <c r="D900" s="11">
        <v>222.47</v>
      </c>
      <c r="E900" s="11">
        <v>36</v>
      </c>
      <c r="F900" s="11">
        <v>8008.92</v>
      </c>
      <c r="G900" s="12">
        <v>45262</v>
      </c>
      <c r="H900" s="12">
        <v>45562</v>
      </c>
      <c r="I900">
        <f t="shared" si="14"/>
        <v>1</v>
      </c>
    </row>
    <row r="901" spans="1:9" x14ac:dyDescent="0.3">
      <c r="A901" s="11">
        <v>60746</v>
      </c>
      <c r="B901" s="11" t="s">
        <v>12</v>
      </c>
      <c r="C901" s="11" t="s">
        <v>68</v>
      </c>
      <c r="D901" s="11">
        <v>795.19</v>
      </c>
      <c r="E901" s="11">
        <v>23</v>
      </c>
      <c r="F901" s="11">
        <v>18289.37</v>
      </c>
      <c r="G901" s="12">
        <v>45579</v>
      </c>
      <c r="H901" s="12">
        <v>45203</v>
      </c>
      <c r="I901" t="e">
        <f t="shared" si="14"/>
        <v>#NUM!</v>
      </c>
    </row>
    <row r="902" spans="1:9" x14ac:dyDescent="0.3">
      <c r="A902" s="11">
        <v>94068</v>
      </c>
      <c r="B902" s="11" t="s">
        <v>17</v>
      </c>
      <c r="C902" s="11" t="s">
        <v>60</v>
      </c>
      <c r="D902" s="11">
        <v>184.57</v>
      </c>
      <c r="E902" s="11">
        <v>17</v>
      </c>
      <c r="F902" s="11">
        <v>3137.69</v>
      </c>
      <c r="G902" s="12">
        <v>45600</v>
      </c>
      <c r="H902" s="12">
        <v>45091</v>
      </c>
      <c r="I902" t="e">
        <f t="shared" si="14"/>
        <v>#NUM!</v>
      </c>
    </row>
    <row r="903" spans="1:9" x14ac:dyDescent="0.3">
      <c r="A903" s="11">
        <v>82883</v>
      </c>
      <c r="B903" s="11" t="s">
        <v>18</v>
      </c>
      <c r="C903" s="11" t="s">
        <v>34</v>
      </c>
      <c r="D903" s="11">
        <v>222.47</v>
      </c>
      <c r="E903" s="11">
        <v>9</v>
      </c>
      <c r="F903" s="11">
        <v>2002.23</v>
      </c>
      <c r="G903" s="12">
        <v>45656</v>
      </c>
      <c r="H903" s="12">
        <v>45516</v>
      </c>
      <c r="I903" t="e">
        <f t="shared" si="14"/>
        <v>#NUM!</v>
      </c>
    </row>
    <row r="904" spans="1:9" x14ac:dyDescent="0.3">
      <c r="A904" s="11">
        <v>23497</v>
      </c>
      <c r="B904" s="11" t="s">
        <v>23</v>
      </c>
      <c r="C904" s="11" t="s">
        <v>62</v>
      </c>
      <c r="D904" s="11">
        <v>474.55</v>
      </c>
      <c r="E904" s="11">
        <v>13</v>
      </c>
      <c r="F904" s="11">
        <v>6169.15</v>
      </c>
      <c r="G904" s="12">
        <v>45133</v>
      </c>
      <c r="H904" s="12">
        <v>45089</v>
      </c>
      <c r="I904" t="e">
        <f t="shared" si="14"/>
        <v>#NUM!</v>
      </c>
    </row>
    <row r="905" spans="1:9" x14ac:dyDescent="0.3">
      <c r="A905" s="11">
        <v>62728</v>
      </c>
      <c r="B905" s="11" t="s">
        <v>25</v>
      </c>
      <c r="C905" s="11" t="s">
        <v>54</v>
      </c>
      <c r="D905" s="11">
        <v>730.09</v>
      </c>
      <c r="E905" s="11">
        <v>20</v>
      </c>
      <c r="F905" s="11">
        <v>14601.8</v>
      </c>
      <c r="G905" s="12">
        <v>45121</v>
      </c>
      <c r="H905" s="12">
        <v>45134</v>
      </c>
      <c r="I905">
        <f t="shared" si="14"/>
        <v>0</v>
      </c>
    </row>
    <row r="906" spans="1:9" x14ac:dyDescent="0.3">
      <c r="A906" s="11">
        <v>83112</v>
      </c>
      <c r="B906" s="11" t="s">
        <v>26</v>
      </c>
      <c r="C906" s="11" t="s">
        <v>62</v>
      </c>
      <c r="D906" s="11">
        <v>474.55</v>
      </c>
      <c r="E906" s="11">
        <v>4</v>
      </c>
      <c r="F906" s="11">
        <v>1898.2</v>
      </c>
      <c r="G906" s="12">
        <v>45166</v>
      </c>
      <c r="H906" s="12">
        <v>45060</v>
      </c>
      <c r="I906" t="e">
        <f t="shared" si="14"/>
        <v>#NUM!</v>
      </c>
    </row>
    <row r="907" spans="1:9" x14ac:dyDescent="0.3">
      <c r="A907" s="11">
        <v>35055</v>
      </c>
      <c r="B907" s="11" t="s">
        <v>17</v>
      </c>
      <c r="C907" s="11" t="s">
        <v>35</v>
      </c>
      <c r="D907" s="11">
        <v>101.12</v>
      </c>
      <c r="E907" s="11">
        <v>50</v>
      </c>
      <c r="F907" s="11">
        <v>5056</v>
      </c>
      <c r="G907" s="12">
        <v>45462</v>
      </c>
      <c r="H907" s="12">
        <v>45476</v>
      </c>
      <c r="I907">
        <f t="shared" si="14"/>
        <v>0</v>
      </c>
    </row>
    <row r="908" spans="1:9" x14ac:dyDescent="0.3">
      <c r="A908" s="11">
        <v>96324</v>
      </c>
      <c r="B908" s="11" t="s">
        <v>13</v>
      </c>
      <c r="C908" s="11" t="s">
        <v>60</v>
      </c>
      <c r="D908" s="11">
        <v>184.57</v>
      </c>
      <c r="E908" s="11">
        <v>2</v>
      </c>
      <c r="F908" s="11">
        <v>369.14</v>
      </c>
      <c r="G908" s="12">
        <v>45184</v>
      </c>
      <c r="H908" s="12">
        <v>45291</v>
      </c>
      <c r="I908">
        <f t="shared" si="14"/>
        <v>1</v>
      </c>
    </row>
    <row r="909" spans="1:9" x14ac:dyDescent="0.3">
      <c r="A909" s="11">
        <v>24749</v>
      </c>
      <c r="B909" s="11" t="s">
        <v>15</v>
      </c>
      <c r="C909" s="11" t="s">
        <v>55</v>
      </c>
      <c r="D909" s="11">
        <v>399.32</v>
      </c>
      <c r="E909" s="11">
        <v>13</v>
      </c>
      <c r="F909" s="11">
        <v>5191.16</v>
      </c>
      <c r="G909" s="12">
        <v>45175</v>
      </c>
      <c r="H909" s="12">
        <v>45282</v>
      </c>
      <c r="I909">
        <f t="shared" si="14"/>
        <v>1</v>
      </c>
    </row>
    <row r="910" spans="1:9" x14ac:dyDescent="0.3">
      <c r="A910" s="11">
        <v>25293</v>
      </c>
      <c r="B910" s="11" t="s">
        <v>27</v>
      </c>
      <c r="C910" s="11" t="s">
        <v>29</v>
      </c>
      <c r="D910" s="11">
        <v>683.98</v>
      </c>
      <c r="E910" s="11">
        <v>24</v>
      </c>
      <c r="F910" s="11">
        <v>16415.52</v>
      </c>
      <c r="G910" s="12">
        <v>45376</v>
      </c>
      <c r="H910" s="12">
        <v>45040</v>
      </c>
      <c r="I910" t="e">
        <f t="shared" si="14"/>
        <v>#NUM!</v>
      </c>
    </row>
    <row r="911" spans="1:9" x14ac:dyDescent="0.3">
      <c r="A911" s="11">
        <v>15196</v>
      </c>
      <c r="B911" s="11" t="s">
        <v>13</v>
      </c>
      <c r="C911" s="11" t="s">
        <v>39</v>
      </c>
      <c r="D911" s="11">
        <v>988.47</v>
      </c>
      <c r="E911" s="11">
        <v>10</v>
      </c>
      <c r="F911" s="11">
        <v>9884.7000000000007</v>
      </c>
      <c r="G911" s="12">
        <v>45533</v>
      </c>
      <c r="H911" s="12">
        <v>45224</v>
      </c>
      <c r="I911" t="e">
        <f t="shared" si="14"/>
        <v>#NUM!</v>
      </c>
    </row>
    <row r="912" spans="1:9" x14ac:dyDescent="0.3">
      <c r="A912" s="11">
        <v>90021</v>
      </c>
      <c r="B912" s="11" t="s">
        <v>9</v>
      </c>
      <c r="C912" s="11" t="s">
        <v>28</v>
      </c>
      <c r="D912" s="11">
        <v>855.99</v>
      </c>
      <c r="E912" s="11">
        <v>33</v>
      </c>
      <c r="F912" s="11">
        <v>28247.67</v>
      </c>
      <c r="G912" s="12">
        <v>44985</v>
      </c>
      <c r="H912" s="12">
        <v>45313</v>
      </c>
      <c r="I912">
        <f t="shared" si="14"/>
        <v>1</v>
      </c>
    </row>
    <row r="913" spans="1:9" x14ac:dyDescent="0.3">
      <c r="A913" s="11">
        <v>76092</v>
      </c>
      <c r="B913" s="11" t="s">
        <v>22</v>
      </c>
      <c r="C913" s="11" t="s">
        <v>54</v>
      </c>
      <c r="D913" s="11">
        <v>730.09</v>
      </c>
      <c r="E913" s="11">
        <v>47</v>
      </c>
      <c r="F913" s="11">
        <v>34314.230000000003</v>
      </c>
      <c r="G913" s="12">
        <v>44987</v>
      </c>
      <c r="H913" s="12">
        <v>45419</v>
      </c>
      <c r="I913">
        <f t="shared" si="14"/>
        <v>1</v>
      </c>
    </row>
    <row r="914" spans="1:9" x14ac:dyDescent="0.3">
      <c r="A914" s="11">
        <v>64423</v>
      </c>
      <c r="B914" s="11" t="s">
        <v>26</v>
      </c>
      <c r="C914" s="11" t="s">
        <v>76</v>
      </c>
      <c r="D914" s="11">
        <v>95.12</v>
      </c>
      <c r="E914" s="11">
        <v>41</v>
      </c>
      <c r="F914" s="11">
        <v>3899.92</v>
      </c>
      <c r="G914" s="12">
        <v>45605</v>
      </c>
      <c r="H914" s="12">
        <v>45325</v>
      </c>
      <c r="I914" t="e">
        <f t="shared" si="14"/>
        <v>#NUM!</v>
      </c>
    </row>
    <row r="915" spans="1:9" x14ac:dyDescent="0.3">
      <c r="A915" s="11">
        <v>98935</v>
      </c>
      <c r="B915" s="11" t="s">
        <v>25</v>
      </c>
      <c r="C915" s="11" t="s">
        <v>35</v>
      </c>
      <c r="D915" s="11">
        <v>101.12</v>
      </c>
      <c r="E915" s="11">
        <v>49</v>
      </c>
      <c r="F915" s="11">
        <v>4954.88</v>
      </c>
      <c r="G915" s="12">
        <v>45536</v>
      </c>
      <c r="H915" s="12">
        <v>45344</v>
      </c>
      <c r="I915" t="e">
        <f t="shared" si="14"/>
        <v>#NUM!</v>
      </c>
    </row>
    <row r="916" spans="1:9" x14ac:dyDescent="0.3">
      <c r="A916" s="11">
        <v>64754</v>
      </c>
      <c r="B916" s="11" t="s">
        <v>15</v>
      </c>
      <c r="C916" s="11" t="s">
        <v>69</v>
      </c>
      <c r="D916" s="11">
        <v>158.66999999999999</v>
      </c>
      <c r="E916" s="11">
        <v>28</v>
      </c>
      <c r="F916" s="11">
        <v>4442.76</v>
      </c>
      <c r="G916" s="12">
        <v>45671</v>
      </c>
      <c r="H916" s="12">
        <v>45506</v>
      </c>
      <c r="I916" t="e">
        <f t="shared" si="14"/>
        <v>#NUM!</v>
      </c>
    </row>
    <row r="917" spans="1:9" x14ac:dyDescent="0.3">
      <c r="A917" s="11">
        <v>98671</v>
      </c>
      <c r="B917" s="11" t="s">
        <v>20</v>
      </c>
      <c r="C917" s="11" t="s">
        <v>66</v>
      </c>
      <c r="D917" s="11">
        <v>45.72</v>
      </c>
      <c r="E917" s="11">
        <v>21</v>
      </c>
      <c r="F917" s="11">
        <v>960.12</v>
      </c>
      <c r="G917" s="12">
        <v>45088</v>
      </c>
      <c r="H917" s="12">
        <v>45500</v>
      </c>
      <c r="I917">
        <f t="shared" si="14"/>
        <v>1</v>
      </c>
    </row>
    <row r="918" spans="1:9" x14ac:dyDescent="0.3">
      <c r="A918" s="11">
        <v>16299</v>
      </c>
      <c r="B918" s="11" t="s">
        <v>11</v>
      </c>
      <c r="C918" s="11" t="s">
        <v>67</v>
      </c>
      <c r="D918" s="11">
        <v>402.36</v>
      </c>
      <c r="E918" s="11">
        <v>20</v>
      </c>
      <c r="F918" s="11">
        <v>8047.2</v>
      </c>
      <c r="G918" s="12">
        <v>45026</v>
      </c>
      <c r="H918" s="12">
        <v>45632</v>
      </c>
      <c r="I918">
        <f t="shared" si="14"/>
        <v>1</v>
      </c>
    </row>
    <row r="919" spans="1:9" x14ac:dyDescent="0.3">
      <c r="A919" s="11">
        <v>74827</v>
      </c>
      <c r="B919" s="11" t="s">
        <v>16</v>
      </c>
      <c r="C919" s="11" t="s">
        <v>53</v>
      </c>
      <c r="D919" s="11">
        <v>972.24</v>
      </c>
      <c r="E919" s="11">
        <v>5</v>
      </c>
      <c r="F919" s="11">
        <v>4861.2</v>
      </c>
      <c r="G919" s="12">
        <v>45583</v>
      </c>
      <c r="H919" s="12">
        <v>45270</v>
      </c>
      <c r="I919" t="e">
        <f t="shared" si="14"/>
        <v>#NUM!</v>
      </c>
    </row>
    <row r="920" spans="1:9" x14ac:dyDescent="0.3">
      <c r="A920" s="11">
        <v>28063</v>
      </c>
      <c r="B920" s="11" t="s">
        <v>18</v>
      </c>
      <c r="C920" s="11" t="s">
        <v>77</v>
      </c>
      <c r="D920" s="11">
        <v>761.92</v>
      </c>
      <c r="E920" s="11">
        <v>35</v>
      </c>
      <c r="F920" s="11">
        <v>26667.200000000001</v>
      </c>
      <c r="G920" s="12">
        <v>45167</v>
      </c>
      <c r="H920" s="12">
        <v>45410</v>
      </c>
      <c r="I920">
        <f t="shared" si="14"/>
        <v>1</v>
      </c>
    </row>
    <row r="921" spans="1:9" x14ac:dyDescent="0.3">
      <c r="A921" s="11">
        <v>65501</v>
      </c>
      <c r="B921" s="11" t="s">
        <v>16</v>
      </c>
      <c r="C921" s="11" t="s">
        <v>63</v>
      </c>
      <c r="D921" s="11">
        <v>611.66</v>
      </c>
      <c r="E921" s="11">
        <v>32</v>
      </c>
      <c r="F921" s="11">
        <v>19573.12</v>
      </c>
      <c r="G921" s="12">
        <v>45549</v>
      </c>
      <c r="H921" s="12">
        <v>45029</v>
      </c>
      <c r="I921" t="e">
        <f t="shared" si="14"/>
        <v>#NUM!</v>
      </c>
    </row>
    <row r="922" spans="1:9" x14ac:dyDescent="0.3">
      <c r="A922" s="11">
        <v>81410</v>
      </c>
      <c r="B922" s="11" t="s">
        <v>16</v>
      </c>
      <c r="C922" s="11" t="s">
        <v>33</v>
      </c>
      <c r="D922" s="11">
        <v>622.16</v>
      </c>
      <c r="E922" s="11">
        <v>17</v>
      </c>
      <c r="F922" s="11">
        <v>10576.72</v>
      </c>
      <c r="G922" s="12">
        <v>45477</v>
      </c>
      <c r="H922" s="12">
        <v>45142</v>
      </c>
      <c r="I922" t="e">
        <f t="shared" si="14"/>
        <v>#NUM!</v>
      </c>
    </row>
    <row r="923" spans="1:9" x14ac:dyDescent="0.3">
      <c r="A923" s="11">
        <v>42815</v>
      </c>
      <c r="B923" s="11" t="s">
        <v>15</v>
      </c>
      <c r="C923" s="11" t="s">
        <v>45</v>
      </c>
      <c r="D923" s="11">
        <v>366.3</v>
      </c>
      <c r="E923" s="11">
        <v>12</v>
      </c>
      <c r="F923" s="11">
        <v>4395.6000000000004</v>
      </c>
      <c r="G923" s="12">
        <v>45043</v>
      </c>
      <c r="H923" s="12">
        <v>45300</v>
      </c>
      <c r="I923">
        <f t="shared" si="14"/>
        <v>1</v>
      </c>
    </row>
    <row r="924" spans="1:9" x14ac:dyDescent="0.3">
      <c r="A924" s="11">
        <v>17122</v>
      </c>
      <c r="B924" s="11" t="s">
        <v>12</v>
      </c>
      <c r="C924" s="11" t="s">
        <v>28</v>
      </c>
      <c r="D924" s="11">
        <v>855.99</v>
      </c>
      <c r="E924" s="11">
        <v>38</v>
      </c>
      <c r="F924" s="11">
        <v>32527.62</v>
      </c>
      <c r="G924" s="12">
        <v>45624</v>
      </c>
      <c r="H924" s="12">
        <v>45160</v>
      </c>
      <c r="I924" t="e">
        <f t="shared" si="14"/>
        <v>#NUM!</v>
      </c>
    </row>
    <row r="925" spans="1:9" x14ac:dyDescent="0.3">
      <c r="A925" s="11">
        <v>84665</v>
      </c>
      <c r="B925" s="11" t="s">
        <v>9</v>
      </c>
      <c r="C925" s="11" t="s">
        <v>28</v>
      </c>
      <c r="D925" s="11">
        <v>855.99</v>
      </c>
      <c r="E925" s="11">
        <v>21</v>
      </c>
      <c r="F925" s="11">
        <v>17975.79</v>
      </c>
      <c r="G925" s="12">
        <v>45308</v>
      </c>
      <c r="H925" s="12">
        <v>45355</v>
      </c>
      <c r="I925">
        <f t="shared" si="14"/>
        <v>1</v>
      </c>
    </row>
    <row r="926" spans="1:9" x14ac:dyDescent="0.3">
      <c r="A926" s="11">
        <v>34716</v>
      </c>
      <c r="B926" s="11" t="s">
        <v>24</v>
      </c>
      <c r="C926" s="11" t="s">
        <v>64</v>
      </c>
      <c r="D926" s="11">
        <v>796.51</v>
      </c>
      <c r="E926" s="11">
        <v>5</v>
      </c>
      <c r="F926" s="11">
        <v>3982.55</v>
      </c>
      <c r="G926" s="12">
        <v>45296</v>
      </c>
      <c r="H926" s="12">
        <v>45570</v>
      </c>
      <c r="I926">
        <f t="shared" si="14"/>
        <v>1</v>
      </c>
    </row>
    <row r="927" spans="1:9" x14ac:dyDescent="0.3">
      <c r="A927" s="11">
        <v>89719</v>
      </c>
      <c r="B927" s="11" t="s">
        <v>22</v>
      </c>
      <c r="C927" s="11" t="s">
        <v>62</v>
      </c>
      <c r="D927" s="11">
        <v>474.55</v>
      </c>
      <c r="E927" s="11">
        <v>50</v>
      </c>
      <c r="F927" s="11">
        <v>23727.5</v>
      </c>
      <c r="G927" s="12">
        <v>45270</v>
      </c>
      <c r="H927" s="12">
        <v>45329</v>
      </c>
      <c r="I927">
        <f t="shared" si="14"/>
        <v>1</v>
      </c>
    </row>
    <row r="928" spans="1:9" x14ac:dyDescent="0.3">
      <c r="A928" s="11">
        <v>33753</v>
      </c>
      <c r="B928" s="11" t="s">
        <v>10</v>
      </c>
      <c r="C928" s="11" t="s">
        <v>47</v>
      </c>
      <c r="D928" s="11">
        <v>682.74</v>
      </c>
      <c r="E928" s="11">
        <v>33</v>
      </c>
      <c r="F928" s="11">
        <v>22530.42</v>
      </c>
      <c r="G928" s="12">
        <v>45632</v>
      </c>
      <c r="H928" s="12">
        <v>45642</v>
      </c>
      <c r="I928">
        <f t="shared" si="14"/>
        <v>0</v>
      </c>
    </row>
    <row r="929" spans="1:9" x14ac:dyDescent="0.3">
      <c r="A929" s="11">
        <v>18000</v>
      </c>
      <c r="B929" s="11" t="s">
        <v>13</v>
      </c>
      <c r="C929" s="11" t="s">
        <v>37</v>
      </c>
      <c r="D929" s="11">
        <v>796.94</v>
      </c>
      <c r="E929" s="11">
        <v>14</v>
      </c>
      <c r="F929" s="11">
        <v>11157.16</v>
      </c>
      <c r="G929" s="12">
        <v>45566</v>
      </c>
      <c r="H929" s="12">
        <v>45633</v>
      </c>
      <c r="I929">
        <f t="shared" si="14"/>
        <v>1</v>
      </c>
    </row>
    <row r="930" spans="1:9" x14ac:dyDescent="0.3">
      <c r="A930" s="11">
        <v>91756</v>
      </c>
      <c r="B930" s="11" t="s">
        <v>12</v>
      </c>
      <c r="C930" s="11" t="s">
        <v>71</v>
      </c>
      <c r="D930" s="11">
        <v>870.6</v>
      </c>
      <c r="E930" s="11">
        <v>4</v>
      </c>
      <c r="F930" s="11">
        <v>3482.4</v>
      </c>
      <c r="G930" s="12">
        <v>45165</v>
      </c>
      <c r="H930" s="12">
        <v>45231</v>
      </c>
      <c r="I930">
        <f t="shared" si="14"/>
        <v>1</v>
      </c>
    </row>
    <row r="931" spans="1:9" x14ac:dyDescent="0.3">
      <c r="A931" s="11">
        <v>87711</v>
      </c>
      <c r="B931" s="11" t="s">
        <v>8</v>
      </c>
      <c r="C931" s="11" t="s">
        <v>37</v>
      </c>
      <c r="D931" s="11">
        <v>796.94</v>
      </c>
      <c r="E931" s="11">
        <v>28</v>
      </c>
      <c r="F931" s="11">
        <v>22314.32</v>
      </c>
      <c r="G931" s="12">
        <v>45502</v>
      </c>
      <c r="H931" s="12">
        <v>45284</v>
      </c>
      <c r="I931" t="e">
        <f t="shared" si="14"/>
        <v>#NUM!</v>
      </c>
    </row>
    <row r="932" spans="1:9" x14ac:dyDescent="0.3">
      <c r="A932" s="11">
        <v>76716</v>
      </c>
      <c r="B932" s="11" t="s">
        <v>16</v>
      </c>
      <c r="C932" s="11" t="s">
        <v>69</v>
      </c>
      <c r="D932" s="11">
        <v>158.66999999999999</v>
      </c>
      <c r="E932" s="11">
        <v>47</v>
      </c>
      <c r="F932" s="11">
        <v>7457.49</v>
      </c>
      <c r="G932" s="12">
        <v>45331</v>
      </c>
      <c r="H932" s="12">
        <v>45318</v>
      </c>
      <c r="I932" t="e">
        <f t="shared" si="14"/>
        <v>#NUM!</v>
      </c>
    </row>
    <row r="933" spans="1:9" x14ac:dyDescent="0.3">
      <c r="A933" s="11">
        <v>68848</v>
      </c>
      <c r="B933" s="11" t="s">
        <v>15</v>
      </c>
      <c r="C933" s="11" t="s">
        <v>49</v>
      </c>
      <c r="D933" s="11">
        <v>534.77</v>
      </c>
      <c r="E933" s="11">
        <v>1</v>
      </c>
      <c r="F933" s="11">
        <v>534.77</v>
      </c>
      <c r="G933" s="12">
        <v>45391</v>
      </c>
      <c r="H933" s="12">
        <v>44988</v>
      </c>
      <c r="I933" t="e">
        <f t="shared" si="14"/>
        <v>#NUM!</v>
      </c>
    </row>
    <row r="934" spans="1:9" x14ac:dyDescent="0.3">
      <c r="A934" s="11">
        <v>86221</v>
      </c>
      <c r="B934" s="11" t="s">
        <v>14</v>
      </c>
      <c r="C934" s="11" t="s">
        <v>76</v>
      </c>
      <c r="D934" s="11">
        <v>95.12</v>
      </c>
      <c r="E934" s="11">
        <v>50</v>
      </c>
      <c r="F934" s="11">
        <v>4756</v>
      </c>
      <c r="G934" s="12">
        <v>45348</v>
      </c>
      <c r="H934" s="12">
        <v>45038</v>
      </c>
      <c r="I934" t="e">
        <f t="shared" si="14"/>
        <v>#NUM!</v>
      </c>
    </row>
    <row r="935" spans="1:9" x14ac:dyDescent="0.3">
      <c r="A935" s="11">
        <v>14394</v>
      </c>
      <c r="B935" s="11" t="s">
        <v>21</v>
      </c>
      <c r="C935" s="11" t="s">
        <v>38</v>
      </c>
      <c r="D935" s="11">
        <v>233.83</v>
      </c>
      <c r="E935" s="11">
        <v>1</v>
      </c>
      <c r="F935" s="11">
        <v>233.83</v>
      </c>
      <c r="G935" s="12">
        <v>45356</v>
      </c>
      <c r="H935" s="12">
        <v>45205</v>
      </c>
      <c r="I935" t="e">
        <f t="shared" si="14"/>
        <v>#NUM!</v>
      </c>
    </row>
    <row r="936" spans="1:9" x14ac:dyDescent="0.3">
      <c r="A936" s="11">
        <v>44099</v>
      </c>
      <c r="B936" s="11" t="s">
        <v>26</v>
      </c>
      <c r="C936" s="11" t="s">
        <v>48</v>
      </c>
      <c r="D936" s="11">
        <v>93.68</v>
      </c>
      <c r="E936" s="11">
        <v>47</v>
      </c>
      <c r="F936" s="11">
        <v>4402.96</v>
      </c>
      <c r="G936" s="12">
        <v>45546</v>
      </c>
      <c r="H936" s="12">
        <v>44968</v>
      </c>
      <c r="I936" t="e">
        <f t="shared" si="14"/>
        <v>#NUM!</v>
      </c>
    </row>
    <row r="937" spans="1:9" x14ac:dyDescent="0.3">
      <c r="A937" s="11">
        <v>85851</v>
      </c>
      <c r="B937" s="11" t="s">
        <v>13</v>
      </c>
      <c r="C937" s="11" t="s">
        <v>67</v>
      </c>
      <c r="D937" s="11">
        <v>402.36</v>
      </c>
      <c r="E937" s="11">
        <v>16</v>
      </c>
      <c r="F937" s="11">
        <v>6437.76</v>
      </c>
      <c r="G937" s="12">
        <v>45516</v>
      </c>
      <c r="H937" s="12">
        <v>44991</v>
      </c>
      <c r="I937" t="e">
        <f t="shared" si="14"/>
        <v>#NUM!</v>
      </c>
    </row>
    <row r="938" spans="1:9" x14ac:dyDescent="0.3">
      <c r="A938" s="11">
        <v>56275</v>
      </c>
      <c r="B938" s="11" t="s">
        <v>13</v>
      </c>
      <c r="C938" s="11" t="s">
        <v>69</v>
      </c>
      <c r="D938" s="11">
        <v>158.66999999999999</v>
      </c>
      <c r="E938" s="11">
        <v>46</v>
      </c>
      <c r="F938" s="11">
        <v>7298.82</v>
      </c>
      <c r="G938" s="12">
        <v>45033</v>
      </c>
      <c r="H938" s="12">
        <v>45358</v>
      </c>
      <c r="I938">
        <f t="shared" si="14"/>
        <v>1</v>
      </c>
    </row>
    <row r="939" spans="1:9" x14ac:dyDescent="0.3">
      <c r="A939" s="11">
        <v>45931</v>
      </c>
      <c r="B939" s="11" t="s">
        <v>25</v>
      </c>
      <c r="C939" s="11" t="s">
        <v>29</v>
      </c>
      <c r="D939" s="11">
        <v>683.98</v>
      </c>
      <c r="E939" s="11">
        <v>36</v>
      </c>
      <c r="F939" s="11">
        <v>24623.279999999999</v>
      </c>
      <c r="G939" s="12">
        <v>44986</v>
      </c>
      <c r="H939" s="12">
        <v>45589</v>
      </c>
      <c r="I939">
        <f t="shared" si="14"/>
        <v>1</v>
      </c>
    </row>
    <row r="940" spans="1:9" x14ac:dyDescent="0.3">
      <c r="A940" s="11">
        <v>57217</v>
      </c>
      <c r="B940" s="11" t="s">
        <v>22</v>
      </c>
      <c r="C940" s="11" t="s">
        <v>28</v>
      </c>
      <c r="D940" s="11">
        <v>855.99</v>
      </c>
      <c r="E940" s="11">
        <v>36</v>
      </c>
      <c r="F940" s="11">
        <v>30815.64</v>
      </c>
      <c r="G940" s="12">
        <v>45205</v>
      </c>
      <c r="H940" s="12">
        <v>45215</v>
      </c>
      <c r="I940">
        <f t="shared" si="14"/>
        <v>0</v>
      </c>
    </row>
    <row r="941" spans="1:9" x14ac:dyDescent="0.3">
      <c r="A941" s="11">
        <v>26218</v>
      </c>
      <c r="B941" s="11" t="s">
        <v>13</v>
      </c>
      <c r="C941" s="11" t="s">
        <v>66</v>
      </c>
      <c r="D941" s="11">
        <v>45.72</v>
      </c>
      <c r="E941" s="11">
        <v>30</v>
      </c>
      <c r="F941" s="11">
        <v>1371.6</v>
      </c>
      <c r="G941" s="12">
        <v>45401</v>
      </c>
      <c r="H941" s="12">
        <v>45378</v>
      </c>
      <c r="I941" t="e">
        <f t="shared" si="14"/>
        <v>#NUM!</v>
      </c>
    </row>
    <row r="942" spans="1:9" x14ac:dyDescent="0.3">
      <c r="A942" s="11">
        <v>50847</v>
      </c>
      <c r="B942" s="11" t="s">
        <v>27</v>
      </c>
      <c r="C942" s="11" t="s">
        <v>57</v>
      </c>
      <c r="D942" s="11">
        <v>404.9</v>
      </c>
      <c r="E942" s="11">
        <v>25</v>
      </c>
      <c r="F942" s="11">
        <v>10122.5</v>
      </c>
      <c r="G942" s="12">
        <v>45482</v>
      </c>
      <c r="H942" s="12">
        <v>45361</v>
      </c>
      <c r="I942" t="e">
        <f t="shared" si="14"/>
        <v>#NUM!</v>
      </c>
    </row>
    <row r="943" spans="1:9" x14ac:dyDescent="0.3">
      <c r="A943" s="11">
        <v>19777</v>
      </c>
      <c r="B943" s="11" t="s">
        <v>13</v>
      </c>
      <c r="C943" s="11" t="s">
        <v>37</v>
      </c>
      <c r="D943" s="11">
        <v>796.94</v>
      </c>
      <c r="E943" s="11">
        <v>32</v>
      </c>
      <c r="F943" s="11">
        <v>25502.080000000002</v>
      </c>
      <c r="G943" s="12">
        <v>45066</v>
      </c>
      <c r="H943" s="12">
        <v>45043</v>
      </c>
      <c r="I943" t="e">
        <f t="shared" si="14"/>
        <v>#NUM!</v>
      </c>
    </row>
    <row r="944" spans="1:9" x14ac:dyDescent="0.3">
      <c r="A944" s="11">
        <v>80367</v>
      </c>
      <c r="B944" s="11" t="s">
        <v>19</v>
      </c>
      <c r="C944" s="11" t="s">
        <v>38</v>
      </c>
      <c r="D944" s="11">
        <v>233.83</v>
      </c>
      <c r="E944" s="11">
        <v>30</v>
      </c>
      <c r="F944" s="11">
        <v>7014.9</v>
      </c>
      <c r="G944" s="12">
        <v>45295</v>
      </c>
      <c r="H944" s="12">
        <v>45369</v>
      </c>
      <c r="I944">
        <f t="shared" si="14"/>
        <v>1</v>
      </c>
    </row>
    <row r="945" spans="1:9" x14ac:dyDescent="0.3">
      <c r="A945" s="11">
        <v>48573</v>
      </c>
      <c r="B945" s="11" t="s">
        <v>17</v>
      </c>
      <c r="C945" s="11" t="s">
        <v>59</v>
      </c>
      <c r="D945" s="11">
        <v>346.37</v>
      </c>
      <c r="E945" s="11">
        <v>3</v>
      </c>
      <c r="F945" s="11">
        <v>1039.1099999999999</v>
      </c>
      <c r="G945" s="12">
        <v>45654</v>
      </c>
      <c r="H945" s="12">
        <v>44952</v>
      </c>
      <c r="I945" t="e">
        <f t="shared" si="14"/>
        <v>#NUM!</v>
      </c>
    </row>
    <row r="946" spans="1:9" x14ac:dyDescent="0.3">
      <c r="A946" s="11">
        <v>80056</v>
      </c>
      <c r="B946" s="11" t="s">
        <v>16</v>
      </c>
      <c r="C946" s="11" t="s">
        <v>47</v>
      </c>
      <c r="D946" s="11">
        <v>682.74</v>
      </c>
      <c r="E946" s="11">
        <v>26</v>
      </c>
      <c r="F946" s="11">
        <v>17751.240000000002</v>
      </c>
      <c r="G946" s="12">
        <v>45660</v>
      </c>
      <c r="H946" s="12">
        <v>45392</v>
      </c>
      <c r="I946" t="e">
        <f t="shared" si="14"/>
        <v>#NUM!</v>
      </c>
    </row>
    <row r="947" spans="1:9" x14ac:dyDescent="0.3">
      <c r="A947" s="11">
        <v>66930</v>
      </c>
      <c r="B947" s="11" t="s">
        <v>19</v>
      </c>
      <c r="C947" s="11" t="s">
        <v>42</v>
      </c>
      <c r="D947" s="11">
        <v>112.52</v>
      </c>
      <c r="E947" s="11">
        <v>46</v>
      </c>
      <c r="F947" s="11">
        <v>5175.92</v>
      </c>
      <c r="G947" s="12">
        <v>45302</v>
      </c>
      <c r="H947" s="12">
        <v>45096</v>
      </c>
      <c r="I947" t="e">
        <f t="shared" si="14"/>
        <v>#NUM!</v>
      </c>
    </row>
    <row r="948" spans="1:9" x14ac:dyDescent="0.3">
      <c r="A948" s="11">
        <v>82857</v>
      </c>
      <c r="B948" s="11" t="s">
        <v>11</v>
      </c>
      <c r="C948" s="11" t="s">
        <v>64</v>
      </c>
      <c r="D948" s="11">
        <v>796.51</v>
      </c>
      <c r="E948" s="11">
        <v>22</v>
      </c>
      <c r="F948" s="11">
        <v>17523.22</v>
      </c>
      <c r="G948" s="12">
        <v>44995</v>
      </c>
      <c r="H948" s="12">
        <v>44951</v>
      </c>
      <c r="I948" t="e">
        <f t="shared" si="14"/>
        <v>#NUM!</v>
      </c>
    </row>
    <row r="949" spans="1:9" x14ac:dyDescent="0.3">
      <c r="A949" s="11">
        <v>70695</v>
      </c>
      <c r="B949" s="11" t="s">
        <v>19</v>
      </c>
      <c r="C949" s="11" t="s">
        <v>35</v>
      </c>
      <c r="D949" s="11">
        <v>101.12</v>
      </c>
      <c r="E949" s="11">
        <v>46</v>
      </c>
      <c r="F949" s="11">
        <v>4651.5200000000004</v>
      </c>
      <c r="G949" s="12">
        <v>45547</v>
      </c>
      <c r="H949" s="12">
        <v>45568</v>
      </c>
      <c r="I949">
        <f t="shared" si="14"/>
        <v>1</v>
      </c>
    </row>
    <row r="950" spans="1:9" x14ac:dyDescent="0.3">
      <c r="A950" s="11">
        <v>99343</v>
      </c>
      <c r="B950" s="11" t="s">
        <v>26</v>
      </c>
      <c r="C950" s="11" t="s">
        <v>34</v>
      </c>
      <c r="D950" s="11">
        <v>222.47</v>
      </c>
      <c r="E950" s="11">
        <v>27</v>
      </c>
      <c r="F950" s="11">
        <v>6006.69</v>
      </c>
      <c r="G950" s="12">
        <v>45637</v>
      </c>
      <c r="H950" s="12">
        <v>45318</v>
      </c>
      <c r="I950" t="e">
        <f t="shared" si="14"/>
        <v>#NUM!</v>
      </c>
    </row>
    <row r="951" spans="1:9" x14ac:dyDescent="0.3">
      <c r="A951" s="11">
        <v>81563</v>
      </c>
      <c r="B951" s="11" t="s">
        <v>8</v>
      </c>
      <c r="C951" s="11" t="s">
        <v>37</v>
      </c>
      <c r="D951" s="11">
        <v>796.94</v>
      </c>
      <c r="E951" s="11">
        <v>48</v>
      </c>
      <c r="F951" s="11">
        <v>38253.120000000003</v>
      </c>
      <c r="G951" s="12">
        <v>45138</v>
      </c>
      <c r="H951" s="12">
        <v>45261</v>
      </c>
      <c r="I951">
        <f t="shared" si="14"/>
        <v>1</v>
      </c>
    </row>
    <row r="952" spans="1:9" x14ac:dyDescent="0.3">
      <c r="A952" s="11">
        <v>44797</v>
      </c>
      <c r="B952" s="11" t="s">
        <v>21</v>
      </c>
      <c r="C952" s="11" t="s">
        <v>37</v>
      </c>
      <c r="D952" s="11">
        <v>796.94</v>
      </c>
      <c r="E952" s="11">
        <v>38</v>
      </c>
      <c r="F952" s="11">
        <v>30283.72</v>
      </c>
      <c r="G952" s="12">
        <v>45381</v>
      </c>
      <c r="H952" s="12">
        <v>45579</v>
      </c>
      <c r="I952">
        <f t="shared" si="14"/>
        <v>1</v>
      </c>
    </row>
    <row r="953" spans="1:9" x14ac:dyDescent="0.3">
      <c r="A953" s="11">
        <v>52643</v>
      </c>
      <c r="B953" s="11" t="s">
        <v>22</v>
      </c>
      <c r="C953" s="11" t="s">
        <v>69</v>
      </c>
      <c r="D953" s="11">
        <v>158.66999999999999</v>
      </c>
      <c r="E953" s="11">
        <v>30</v>
      </c>
      <c r="F953" s="11">
        <v>4760.1000000000004</v>
      </c>
      <c r="G953" s="12">
        <v>45397</v>
      </c>
      <c r="H953" s="12">
        <v>45571</v>
      </c>
      <c r="I953">
        <f t="shared" si="14"/>
        <v>1</v>
      </c>
    </row>
    <row r="954" spans="1:9" x14ac:dyDescent="0.3">
      <c r="A954" s="11">
        <v>51260</v>
      </c>
      <c r="B954" s="11" t="s">
        <v>19</v>
      </c>
      <c r="C954" s="11" t="s">
        <v>53</v>
      </c>
      <c r="D954" s="11">
        <v>972.24</v>
      </c>
      <c r="E954" s="11">
        <v>16</v>
      </c>
      <c r="F954" s="11">
        <v>15555.84</v>
      </c>
      <c r="G954" s="12">
        <v>45555</v>
      </c>
      <c r="H954" s="12">
        <v>45312</v>
      </c>
      <c r="I954" t="e">
        <f t="shared" si="14"/>
        <v>#NUM!</v>
      </c>
    </row>
    <row r="955" spans="1:9" x14ac:dyDescent="0.3">
      <c r="A955" s="11">
        <v>33461</v>
      </c>
      <c r="B955" s="11" t="s">
        <v>24</v>
      </c>
      <c r="C955" s="11" t="s">
        <v>71</v>
      </c>
      <c r="D955" s="11">
        <v>870.6</v>
      </c>
      <c r="E955" s="11">
        <v>23</v>
      </c>
      <c r="F955" s="11">
        <v>20023.8</v>
      </c>
      <c r="G955" s="12">
        <v>45389</v>
      </c>
      <c r="H955" s="12">
        <v>45421</v>
      </c>
      <c r="I955">
        <f t="shared" si="14"/>
        <v>1</v>
      </c>
    </row>
    <row r="956" spans="1:9" x14ac:dyDescent="0.3">
      <c r="A956" s="11">
        <v>95415</v>
      </c>
      <c r="B956" s="11" t="s">
        <v>23</v>
      </c>
      <c r="C956" s="11" t="s">
        <v>53</v>
      </c>
      <c r="D956" s="11">
        <v>972.24</v>
      </c>
      <c r="E956" s="11">
        <v>29</v>
      </c>
      <c r="F956" s="11">
        <v>28194.959999999999</v>
      </c>
      <c r="G956" s="12">
        <v>45350</v>
      </c>
      <c r="H956" s="12">
        <v>45322</v>
      </c>
      <c r="I956" t="e">
        <f t="shared" si="14"/>
        <v>#NUM!</v>
      </c>
    </row>
    <row r="957" spans="1:9" x14ac:dyDescent="0.3">
      <c r="A957" s="11">
        <v>36541</v>
      </c>
      <c r="B957" s="11" t="s">
        <v>16</v>
      </c>
      <c r="C957" s="11" t="s">
        <v>40</v>
      </c>
      <c r="D957" s="11">
        <v>875.47</v>
      </c>
      <c r="E957" s="11">
        <v>45</v>
      </c>
      <c r="F957" s="11">
        <v>39396.15</v>
      </c>
      <c r="G957" s="12">
        <v>45442</v>
      </c>
      <c r="H957" s="12">
        <v>44969</v>
      </c>
      <c r="I957" t="e">
        <f t="shared" si="14"/>
        <v>#NUM!</v>
      </c>
    </row>
    <row r="958" spans="1:9" x14ac:dyDescent="0.3">
      <c r="A958" s="11">
        <v>62412</v>
      </c>
      <c r="B958" s="11" t="s">
        <v>9</v>
      </c>
      <c r="C958" s="11" t="s">
        <v>39</v>
      </c>
      <c r="D958" s="11">
        <v>988.47</v>
      </c>
      <c r="E958" s="11">
        <v>18</v>
      </c>
      <c r="F958" s="11">
        <v>17792.46</v>
      </c>
      <c r="G958" s="12">
        <v>45571</v>
      </c>
      <c r="H958" s="12">
        <v>45462</v>
      </c>
      <c r="I958" t="e">
        <f t="shared" si="14"/>
        <v>#NUM!</v>
      </c>
    </row>
    <row r="959" spans="1:9" x14ac:dyDescent="0.3">
      <c r="A959" s="11">
        <v>37349</v>
      </c>
      <c r="B959" s="11" t="s">
        <v>9</v>
      </c>
      <c r="C959" s="11" t="s">
        <v>30</v>
      </c>
      <c r="D959" s="11">
        <v>68.05</v>
      </c>
      <c r="E959" s="11">
        <v>13</v>
      </c>
      <c r="F959" s="11">
        <v>884.65</v>
      </c>
      <c r="G959" s="12">
        <v>45106</v>
      </c>
      <c r="H959" s="12">
        <v>45560</v>
      </c>
      <c r="I959">
        <f t="shared" si="14"/>
        <v>1</v>
      </c>
    </row>
    <row r="960" spans="1:9" x14ac:dyDescent="0.3">
      <c r="A960" s="11">
        <v>14097</v>
      </c>
      <c r="B960" s="11" t="s">
        <v>17</v>
      </c>
      <c r="C960" s="11" t="s">
        <v>60</v>
      </c>
      <c r="D960" s="11">
        <v>184.57</v>
      </c>
      <c r="E960" s="11">
        <v>23</v>
      </c>
      <c r="F960" s="11">
        <v>4245.1099999999997</v>
      </c>
      <c r="G960" s="12">
        <v>45478</v>
      </c>
      <c r="H960" s="12">
        <v>45197</v>
      </c>
      <c r="I960" t="e">
        <f t="shared" si="14"/>
        <v>#NUM!</v>
      </c>
    </row>
    <row r="961" spans="1:9" x14ac:dyDescent="0.3">
      <c r="A961" s="11">
        <v>41416</v>
      </c>
      <c r="B961" s="11" t="s">
        <v>21</v>
      </c>
      <c r="C961" s="11" t="s">
        <v>32</v>
      </c>
      <c r="D961" s="11">
        <v>546.64</v>
      </c>
      <c r="E961" s="11">
        <v>23</v>
      </c>
      <c r="F961" s="11">
        <v>12572.72</v>
      </c>
      <c r="G961" s="12">
        <v>45012</v>
      </c>
      <c r="H961" s="12">
        <v>45049</v>
      </c>
      <c r="I961">
        <f t="shared" si="14"/>
        <v>1</v>
      </c>
    </row>
    <row r="962" spans="1:9" x14ac:dyDescent="0.3">
      <c r="A962" s="11">
        <v>64808</v>
      </c>
      <c r="B962" s="11" t="s">
        <v>10</v>
      </c>
      <c r="C962" s="11" t="s">
        <v>35</v>
      </c>
      <c r="D962" s="11">
        <v>101.12</v>
      </c>
      <c r="E962" s="11">
        <v>22</v>
      </c>
      <c r="F962" s="11">
        <v>2224.64</v>
      </c>
      <c r="G962" s="12">
        <v>45633</v>
      </c>
      <c r="H962" s="12">
        <v>44981</v>
      </c>
      <c r="I962" t="e">
        <f t="shared" si="14"/>
        <v>#NUM!</v>
      </c>
    </row>
    <row r="963" spans="1:9" x14ac:dyDescent="0.3">
      <c r="A963" s="11">
        <v>42892</v>
      </c>
      <c r="B963" s="11" t="s">
        <v>14</v>
      </c>
      <c r="C963" s="11" t="s">
        <v>49</v>
      </c>
      <c r="D963" s="11">
        <v>534.77</v>
      </c>
      <c r="E963" s="11">
        <v>5</v>
      </c>
      <c r="F963" s="11">
        <v>2673.85</v>
      </c>
      <c r="G963" s="12">
        <v>45113</v>
      </c>
      <c r="H963" s="12">
        <v>45032</v>
      </c>
      <c r="I963" t="e">
        <f t="shared" ref="I963:I1026" si="15">IF(DATEDIF(G963,H963,"d") &gt; 15,1,0)</f>
        <v>#NUM!</v>
      </c>
    </row>
    <row r="964" spans="1:9" x14ac:dyDescent="0.3">
      <c r="A964" s="11">
        <v>36361</v>
      </c>
      <c r="B964" s="11" t="s">
        <v>17</v>
      </c>
      <c r="C964" s="11" t="s">
        <v>57</v>
      </c>
      <c r="D964" s="11">
        <v>404.9</v>
      </c>
      <c r="E964" s="11">
        <v>34</v>
      </c>
      <c r="F964" s="11">
        <v>13766.6</v>
      </c>
      <c r="G964" s="12">
        <v>45573</v>
      </c>
      <c r="H964" s="12">
        <v>45574</v>
      </c>
      <c r="I964">
        <f t="shared" si="15"/>
        <v>0</v>
      </c>
    </row>
    <row r="965" spans="1:9" x14ac:dyDescent="0.3">
      <c r="A965" s="11">
        <v>30613</v>
      </c>
      <c r="B965" s="11" t="s">
        <v>15</v>
      </c>
      <c r="C965" s="11" t="s">
        <v>68</v>
      </c>
      <c r="D965" s="11">
        <v>795.19</v>
      </c>
      <c r="E965" s="11">
        <v>40</v>
      </c>
      <c r="F965" s="11">
        <v>31807.599999999999</v>
      </c>
      <c r="G965" s="12">
        <v>45305</v>
      </c>
      <c r="H965" s="12">
        <v>45640</v>
      </c>
      <c r="I965">
        <f t="shared" si="15"/>
        <v>1</v>
      </c>
    </row>
    <row r="966" spans="1:9" x14ac:dyDescent="0.3">
      <c r="A966" s="11">
        <v>63440</v>
      </c>
      <c r="B966" s="11" t="s">
        <v>12</v>
      </c>
      <c r="C966" s="11" t="s">
        <v>36</v>
      </c>
      <c r="D966" s="11">
        <v>596.97</v>
      </c>
      <c r="E966" s="11">
        <v>47</v>
      </c>
      <c r="F966" s="11">
        <v>28057.59</v>
      </c>
      <c r="G966" s="12">
        <v>45233</v>
      </c>
      <c r="H966" s="12">
        <v>45552</v>
      </c>
      <c r="I966">
        <f t="shared" si="15"/>
        <v>1</v>
      </c>
    </row>
    <row r="967" spans="1:9" x14ac:dyDescent="0.3">
      <c r="A967" s="11">
        <v>10104</v>
      </c>
      <c r="B967" s="11" t="s">
        <v>10</v>
      </c>
      <c r="C967" s="11" t="s">
        <v>61</v>
      </c>
      <c r="D967" s="11">
        <v>705.68</v>
      </c>
      <c r="E967" s="11">
        <v>49</v>
      </c>
      <c r="F967" s="11">
        <v>34578.32</v>
      </c>
      <c r="G967" s="12">
        <v>45237</v>
      </c>
      <c r="H967" s="12">
        <v>45102</v>
      </c>
      <c r="I967" t="e">
        <f t="shared" si="15"/>
        <v>#NUM!</v>
      </c>
    </row>
    <row r="968" spans="1:9" x14ac:dyDescent="0.3">
      <c r="A968" s="11">
        <v>99603</v>
      </c>
      <c r="B968" s="11" t="s">
        <v>26</v>
      </c>
      <c r="C968" s="11" t="s">
        <v>73</v>
      </c>
      <c r="D968" s="11">
        <v>890.84</v>
      </c>
      <c r="E968" s="11">
        <v>6</v>
      </c>
      <c r="F968" s="11">
        <v>5345.04</v>
      </c>
      <c r="G968" s="12">
        <v>45035</v>
      </c>
      <c r="H968" s="12">
        <v>45055</v>
      </c>
      <c r="I968">
        <f t="shared" si="15"/>
        <v>1</v>
      </c>
    </row>
    <row r="969" spans="1:9" x14ac:dyDescent="0.3">
      <c r="A969" s="11">
        <v>58309</v>
      </c>
      <c r="B969" s="11" t="s">
        <v>13</v>
      </c>
      <c r="C969" s="11" t="s">
        <v>47</v>
      </c>
      <c r="D969" s="11">
        <v>682.74</v>
      </c>
      <c r="E969" s="11">
        <v>22</v>
      </c>
      <c r="F969" s="11">
        <v>15020.28</v>
      </c>
      <c r="G969" s="12">
        <v>45177</v>
      </c>
      <c r="H969" s="12">
        <v>45147</v>
      </c>
      <c r="I969" t="e">
        <f t="shared" si="15"/>
        <v>#NUM!</v>
      </c>
    </row>
    <row r="970" spans="1:9" x14ac:dyDescent="0.3">
      <c r="A970" s="11">
        <v>87600</v>
      </c>
      <c r="B970" s="11" t="s">
        <v>19</v>
      </c>
      <c r="C970" s="11" t="s">
        <v>61</v>
      </c>
      <c r="D970" s="11">
        <v>705.68</v>
      </c>
      <c r="E970" s="11">
        <v>28</v>
      </c>
      <c r="F970" s="11">
        <v>19759.04</v>
      </c>
      <c r="G970" s="12">
        <v>45196</v>
      </c>
      <c r="H970" s="12">
        <v>45178</v>
      </c>
      <c r="I970" t="e">
        <f t="shared" si="15"/>
        <v>#NUM!</v>
      </c>
    </row>
    <row r="971" spans="1:9" x14ac:dyDescent="0.3">
      <c r="A971" s="11">
        <v>13490</v>
      </c>
      <c r="B971" s="11" t="s">
        <v>8</v>
      </c>
      <c r="C971" s="11" t="s">
        <v>46</v>
      </c>
      <c r="D971" s="11">
        <v>617.33000000000004</v>
      </c>
      <c r="E971" s="11">
        <v>1</v>
      </c>
      <c r="F971" s="11">
        <v>617.33000000000004</v>
      </c>
      <c r="G971" s="12">
        <v>45401</v>
      </c>
      <c r="H971" s="12">
        <v>45225</v>
      </c>
      <c r="I971" t="e">
        <f t="shared" si="15"/>
        <v>#NUM!</v>
      </c>
    </row>
    <row r="972" spans="1:9" x14ac:dyDescent="0.3">
      <c r="A972" s="11">
        <v>91031</v>
      </c>
      <c r="B972" s="11" t="s">
        <v>18</v>
      </c>
      <c r="C972" s="11" t="s">
        <v>46</v>
      </c>
      <c r="D972" s="11">
        <v>617.33000000000004</v>
      </c>
      <c r="E972" s="11">
        <v>31</v>
      </c>
      <c r="F972" s="11">
        <v>19137.23</v>
      </c>
      <c r="G972" s="12">
        <v>45600</v>
      </c>
      <c r="H972" s="12">
        <v>45177</v>
      </c>
      <c r="I972" t="e">
        <f t="shared" si="15"/>
        <v>#NUM!</v>
      </c>
    </row>
    <row r="973" spans="1:9" x14ac:dyDescent="0.3">
      <c r="A973" s="11">
        <v>12774</v>
      </c>
      <c r="B973" s="11" t="s">
        <v>20</v>
      </c>
      <c r="C973" s="11" t="s">
        <v>35</v>
      </c>
      <c r="D973" s="11">
        <v>101.12</v>
      </c>
      <c r="E973" s="11">
        <v>13</v>
      </c>
      <c r="F973" s="11">
        <v>1314.56</v>
      </c>
      <c r="G973" s="12">
        <v>45313</v>
      </c>
      <c r="H973" s="12">
        <v>45096</v>
      </c>
      <c r="I973" t="e">
        <f t="shared" si="15"/>
        <v>#NUM!</v>
      </c>
    </row>
    <row r="974" spans="1:9" x14ac:dyDescent="0.3">
      <c r="A974" s="11">
        <v>10023</v>
      </c>
      <c r="B974" s="11" t="s">
        <v>8</v>
      </c>
      <c r="C974" s="11" t="s">
        <v>66</v>
      </c>
      <c r="D974" s="11">
        <v>45.72</v>
      </c>
      <c r="E974" s="11">
        <v>42</v>
      </c>
      <c r="F974" s="11">
        <v>1920.24</v>
      </c>
      <c r="G974" s="12">
        <v>45181</v>
      </c>
      <c r="H974" s="12">
        <v>45453</v>
      </c>
      <c r="I974">
        <f t="shared" si="15"/>
        <v>1</v>
      </c>
    </row>
    <row r="975" spans="1:9" x14ac:dyDescent="0.3">
      <c r="A975" s="11">
        <v>71981</v>
      </c>
      <c r="B975" s="11" t="s">
        <v>11</v>
      </c>
      <c r="C975" s="11" t="s">
        <v>48</v>
      </c>
      <c r="D975" s="11">
        <v>93.68</v>
      </c>
      <c r="E975" s="11">
        <v>22</v>
      </c>
      <c r="F975" s="11">
        <v>2060.96</v>
      </c>
      <c r="G975" s="12">
        <v>45510</v>
      </c>
      <c r="H975" s="12">
        <v>45201</v>
      </c>
      <c r="I975" t="e">
        <f t="shared" si="15"/>
        <v>#NUM!</v>
      </c>
    </row>
    <row r="976" spans="1:9" x14ac:dyDescent="0.3">
      <c r="A976" s="11">
        <v>17035</v>
      </c>
      <c r="B976" s="11" t="s">
        <v>10</v>
      </c>
      <c r="C976" s="11" t="s">
        <v>44</v>
      </c>
      <c r="D976" s="11">
        <v>654.4</v>
      </c>
      <c r="E976" s="11">
        <v>31</v>
      </c>
      <c r="F976" s="11">
        <v>20286.400000000001</v>
      </c>
      <c r="G976" s="12">
        <v>44967</v>
      </c>
      <c r="H976" s="12">
        <v>44955</v>
      </c>
      <c r="I976" t="e">
        <f t="shared" si="15"/>
        <v>#NUM!</v>
      </c>
    </row>
    <row r="977" spans="1:9" x14ac:dyDescent="0.3">
      <c r="A977" s="11">
        <v>73079</v>
      </c>
      <c r="B977" s="11" t="s">
        <v>9</v>
      </c>
      <c r="C977" s="11" t="s">
        <v>54</v>
      </c>
      <c r="D977" s="11">
        <v>730.09</v>
      </c>
      <c r="E977" s="11">
        <v>46</v>
      </c>
      <c r="F977" s="11">
        <v>33584.14</v>
      </c>
      <c r="G977" s="12">
        <v>45089</v>
      </c>
      <c r="H977" s="12">
        <v>45319</v>
      </c>
      <c r="I977">
        <f t="shared" si="15"/>
        <v>1</v>
      </c>
    </row>
    <row r="978" spans="1:9" x14ac:dyDescent="0.3">
      <c r="A978" s="11">
        <v>54449</v>
      </c>
      <c r="B978" s="11" t="s">
        <v>25</v>
      </c>
      <c r="C978" s="11" t="s">
        <v>62</v>
      </c>
      <c r="D978" s="11">
        <v>474.55</v>
      </c>
      <c r="E978" s="11">
        <v>20</v>
      </c>
      <c r="F978" s="11">
        <v>9491</v>
      </c>
      <c r="G978" s="12">
        <v>45296</v>
      </c>
      <c r="H978" s="12">
        <v>45166</v>
      </c>
      <c r="I978" t="e">
        <f t="shared" si="15"/>
        <v>#NUM!</v>
      </c>
    </row>
    <row r="979" spans="1:9" x14ac:dyDescent="0.3">
      <c r="A979" s="11">
        <v>96863</v>
      </c>
      <c r="B979" s="11" t="s">
        <v>21</v>
      </c>
      <c r="C979" s="11" t="s">
        <v>49</v>
      </c>
      <c r="D979" s="11">
        <v>534.77</v>
      </c>
      <c r="E979" s="11">
        <v>50</v>
      </c>
      <c r="F979" s="11">
        <v>26738.5</v>
      </c>
      <c r="G979" s="12">
        <v>45429</v>
      </c>
      <c r="H979" s="12">
        <v>45289</v>
      </c>
      <c r="I979" t="e">
        <f t="shared" si="15"/>
        <v>#NUM!</v>
      </c>
    </row>
    <row r="980" spans="1:9" x14ac:dyDescent="0.3">
      <c r="A980" s="11">
        <v>35188</v>
      </c>
      <c r="B980" s="11" t="s">
        <v>26</v>
      </c>
      <c r="C980" s="11" t="s">
        <v>67</v>
      </c>
      <c r="D980" s="11">
        <v>402.36</v>
      </c>
      <c r="E980" s="11">
        <v>9</v>
      </c>
      <c r="F980" s="11">
        <v>3621.24</v>
      </c>
      <c r="G980" s="12">
        <v>45483</v>
      </c>
      <c r="H980" s="12">
        <v>45441</v>
      </c>
      <c r="I980" t="e">
        <f t="shared" si="15"/>
        <v>#NUM!</v>
      </c>
    </row>
    <row r="981" spans="1:9" x14ac:dyDescent="0.3">
      <c r="A981" s="11">
        <v>52446</v>
      </c>
      <c r="B981" s="11" t="s">
        <v>14</v>
      </c>
      <c r="C981" s="11" t="s">
        <v>30</v>
      </c>
      <c r="D981" s="11">
        <v>68.05</v>
      </c>
      <c r="E981" s="11">
        <v>43</v>
      </c>
      <c r="F981" s="11">
        <v>2926.15</v>
      </c>
      <c r="G981" s="12">
        <v>45638</v>
      </c>
      <c r="H981" s="12">
        <v>45392</v>
      </c>
      <c r="I981" t="e">
        <f t="shared" si="15"/>
        <v>#NUM!</v>
      </c>
    </row>
    <row r="982" spans="1:9" x14ac:dyDescent="0.3">
      <c r="A982" s="11">
        <v>65060</v>
      </c>
      <c r="B982" s="11" t="s">
        <v>11</v>
      </c>
      <c r="C982" s="11" t="s">
        <v>45</v>
      </c>
      <c r="D982" s="11">
        <v>366.3</v>
      </c>
      <c r="E982" s="11">
        <v>34</v>
      </c>
      <c r="F982" s="11">
        <v>12454.2</v>
      </c>
      <c r="G982" s="12">
        <v>45323</v>
      </c>
      <c r="H982" s="12">
        <v>45403</v>
      </c>
      <c r="I982">
        <f t="shared" si="15"/>
        <v>1</v>
      </c>
    </row>
    <row r="983" spans="1:9" x14ac:dyDescent="0.3">
      <c r="A983" s="11">
        <v>23519</v>
      </c>
      <c r="B983" s="11" t="s">
        <v>24</v>
      </c>
      <c r="C983" s="11" t="s">
        <v>37</v>
      </c>
      <c r="D983" s="11">
        <v>796.94</v>
      </c>
      <c r="E983" s="11">
        <v>9</v>
      </c>
      <c r="F983" s="11">
        <v>7172.46</v>
      </c>
      <c r="G983" s="12">
        <v>45277</v>
      </c>
      <c r="H983" s="12">
        <v>45433</v>
      </c>
      <c r="I983">
        <f t="shared" si="15"/>
        <v>1</v>
      </c>
    </row>
    <row r="984" spans="1:9" x14ac:dyDescent="0.3">
      <c r="A984" s="11">
        <v>34981</v>
      </c>
      <c r="B984" s="11" t="s">
        <v>13</v>
      </c>
      <c r="C984" s="11" t="s">
        <v>31</v>
      </c>
      <c r="D984" s="11">
        <v>449.74</v>
      </c>
      <c r="E984" s="11">
        <v>35</v>
      </c>
      <c r="F984" s="11">
        <v>15740.9</v>
      </c>
      <c r="G984" s="12">
        <v>45500</v>
      </c>
      <c r="H984" s="12">
        <v>45568</v>
      </c>
      <c r="I984">
        <f t="shared" si="15"/>
        <v>1</v>
      </c>
    </row>
    <row r="985" spans="1:9" x14ac:dyDescent="0.3">
      <c r="A985" s="11">
        <v>85862</v>
      </c>
      <c r="B985" s="11" t="s">
        <v>15</v>
      </c>
      <c r="C985" s="11" t="s">
        <v>77</v>
      </c>
      <c r="D985" s="11">
        <v>761.92</v>
      </c>
      <c r="E985" s="11">
        <v>27</v>
      </c>
      <c r="F985" s="11">
        <v>20571.84</v>
      </c>
      <c r="G985" s="12">
        <v>45108</v>
      </c>
      <c r="H985" s="12">
        <v>45324</v>
      </c>
      <c r="I985">
        <f t="shared" si="15"/>
        <v>1</v>
      </c>
    </row>
    <row r="986" spans="1:9" x14ac:dyDescent="0.3">
      <c r="A986" s="11">
        <v>41062</v>
      </c>
      <c r="B986" s="11" t="s">
        <v>26</v>
      </c>
      <c r="C986" s="11" t="s">
        <v>75</v>
      </c>
      <c r="D986" s="11">
        <v>325</v>
      </c>
      <c r="E986" s="11">
        <v>48</v>
      </c>
      <c r="F986" s="11">
        <v>15600</v>
      </c>
      <c r="G986" s="12">
        <v>45595</v>
      </c>
      <c r="H986" s="12">
        <v>45263</v>
      </c>
      <c r="I986" t="e">
        <f t="shared" si="15"/>
        <v>#NUM!</v>
      </c>
    </row>
    <row r="987" spans="1:9" x14ac:dyDescent="0.3">
      <c r="A987" s="11">
        <v>15898</v>
      </c>
      <c r="B987" s="11" t="s">
        <v>13</v>
      </c>
      <c r="C987" s="11" t="s">
        <v>45</v>
      </c>
      <c r="D987" s="11">
        <v>366.3</v>
      </c>
      <c r="E987" s="11">
        <v>24</v>
      </c>
      <c r="F987" s="11">
        <v>8791.2000000000007</v>
      </c>
      <c r="G987" s="12">
        <v>45213</v>
      </c>
      <c r="H987" s="12">
        <v>44978</v>
      </c>
      <c r="I987" t="e">
        <f t="shared" si="15"/>
        <v>#NUM!</v>
      </c>
    </row>
    <row r="988" spans="1:9" x14ac:dyDescent="0.3">
      <c r="A988" s="11">
        <v>56442</v>
      </c>
      <c r="B988" s="11" t="s">
        <v>19</v>
      </c>
      <c r="C988" s="11" t="s">
        <v>31</v>
      </c>
      <c r="D988" s="11">
        <v>449.74</v>
      </c>
      <c r="E988" s="11">
        <v>7</v>
      </c>
      <c r="F988" s="11">
        <v>3148.18</v>
      </c>
      <c r="G988" s="12">
        <v>45425</v>
      </c>
      <c r="H988" s="12">
        <v>45016</v>
      </c>
      <c r="I988" t="e">
        <f t="shared" si="15"/>
        <v>#NUM!</v>
      </c>
    </row>
    <row r="989" spans="1:9" x14ac:dyDescent="0.3">
      <c r="A989" s="11">
        <v>25333</v>
      </c>
      <c r="B989" s="11" t="s">
        <v>12</v>
      </c>
      <c r="C989" s="11" t="s">
        <v>58</v>
      </c>
      <c r="D989" s="11">
        <v>988.73</v>
      </c>
      <c r="E989" s="11">
        <v>21</v>
      </c>
      <c r="F989" s="11">
        <v>20763.330000000002</v>
      </c>
      <c r="G989" s="12">
        <v>44951</v>
      </c>
      <c r="H989" s="12">
        <v>45192</v>
      </c>
      <c r="I989">
        <f t="shared" si="15"/>
        <v>1</v>
      </c>
    </row>
    <row r="990" spans="1:9" x14ac:dyDescent="0.3">
      <c r="A990" s="11">
        <v>95447</v>
      </c>
      <c r="B990" s="11" t="s">
        <v>9</v>
      </c>
      <c r="C990" s="11" t="s">
        <v>72</v>
      </c>
      <c r="D990" s="11">
        <v>913.18</v>
      </c>
      <c r="E990" s="11">
        <v>26</v>
      </c>
      <c r="F990" s="11">
        <v>23742.68</v>
      </c>
      <c r="G990" s="12">
        <v>45656</v>
      </c>
      <c r="H990" s="12">
        <v>45120</v>
      </c>
      <c r="I990" t="e">
        <f t="shared" si="15"/>
        <v>#NUM!</v>
      </c>
    </row>
    <row r="991" spans="1:9" x14ac:dyDescent="0.3">
      <c r="A991" s="11">
        <v>10275</v>
      </c>
      <c r="B991" s="11" t="s">
        <v>15</v>
      </c>
      <c r="C991" s="11" t="s">
        <v>28</v>
      </c>
      <c r="D991" s="11">
        <v>855.99</v>
      </c>
      <c r="E991" s="11">
        <v>37</v>
      </c>
      <c r="F991" s="11">
        <v>31671.63</v>
      </c>
      <c r="G991" s="12">
        <v>45230</v>
      </c>
      <c r="H991" s="12">
        <v>45331</v>
      </c>
      <c r="I991">
        <f t="shared" si="15"/>
        <v>1</v>
      </c>
    </row>
    <row r="992" spans="1:9" x14ac:dyDescent="0.3">
      <c r="A992" s="11">
        <v>45092</v>
      </c>
      <c r="B992" s="11" t="s">
        <v>10</v>
      </c>
      <c r="C992" s="11" t="s">
        <v>32</v>
      </c>
      <c r="D992" s="11">
        <v>546.64</v>
      </c>
      <c r="E992" s="11">
        <v>23</v>
      </c>
      <c r="F992" s="11">
        <v>12572.72</v>
      </c>
      <c r="G992" s="12">
        <v>45666</v>
      </c>
      <c r="H992" s="12">
        <v>45072</v>
      </c>
      <c r="I992" t="e">
        <f t="shared" si="15"/>
        <v>#NUM!</v>
      </c>
    </row>
    <row r="993" spans="1:9" x14ac:dyDescent="0.3">
      <c r="A993" s="11">
        <v>25922</v>
      </c>
      <c r="B993" s="11" t="s">
        <v>18</v>
      </c>
      <c r="C993" s="11" t="s">
        <v>59</v>
      </c>
      <c r="D993" s="11">
        <v>346.37</v>
      </c>
      <c r="E993" s="11">
        <v>3</v>
      </c>
      <c r="F993" s="11">
        <v>1039.1099999999999</v>
      </c>
      <c r="G993" s="12">
        <v>45266</v>
      </c>
      <c r="H993" s="12">
        <v>45545</v>
      </c>
      <c r="I993">
        <f t="shared" si="15"/>
        <v>1</v>
      </c>
    </row>
    <row r="994" spans="1:9" x14ac:dyDescent="0.3">
      <c r="A994" s="11">
        <v>29824</v>
      </c>
      <c r="B994" s="11" t="s">
        <v>14</v>
      </c>
      <c r="C994" s="11" t="s">
        <v>76</v>
      </c>
      <c r="D994" s="11">
        <v>95.12</v>
      </c>
      <c r="E994" s="11">
        <v>35</v>
      </c>
      <c r="F994" s="11">
        <v>3329.2</v>
      </c>
      <c r="G994" s="12">
        <v>45007</v>
      </c>
      <c r="H994" s="12">
        <v>45148</v>
      </c>
      <c r="I994">
        <f t="shared" si="15"/>
        <v>1</v>
      </c>
    </row>
    <row r="995" spans="1:9" x14ac:dyDescent="0.3">
      <c r="A995" s="11">
        <v>40527</v>
      </c>
      <c r="B995" s="11" t="s">
        <v>10</v>
      </c>
      <c r="C995" s="11" t="s">
        <v>60</v>
      </c>
      <c r="D995" s="11">
        <v>184.57</v>
      </c>
      <c r="E995" s="11">
        <v>40</v>
      </c>
      <c r="F995" s="11">
        <v>7382.8</v>
      </c>
      <c r="G995" s="12">
        <v>45317</v>
      </c>
      <c r="H995" s="12">
        <v>45082</v>
      </c>
      <c r="I995" t="e">
        <f t="shared" si="15"/>
        <v>#NUM!</v>
      </c>
    </row>
    <row r="996" spans="1:9" x14ac:dyDescent="0.3">
      <c r="A996" s="11">
        <v>48706</v>
      </c>
      <c r="B996" s="11" t="s">
        <v>17</v>
      </c>
      <c r="C996" s="11" t="s">
        <v>30</v>
      </c>
      <c r="D996" s="11">
        <v>68.05</v>
      </c>
      <c r="E996" s="11">
        <v>6</v>
      </c>
      <c r="F996" s="11">
        <v>408.3</v>
      </c>
      <c r="G996" s="12">
        <v>45514</v>
      </c>
      <c r="H996" s="12">
        <v>45357</v>
      </c>
      <c r="I996" t="e">
        <f t="shared" si="15"/>
        <v>#NUM!</v>
      </c>
    </row>
    <row r="997" spans="1:9" x14ac:dyDescent="0.3">
      <c r="A997" s="11">
        <v>88750</v>
      </c>
      <c r="B997" s="11" t="s">
        <v>21</v>
      </c>
      <c r="C997" s="11" t="s">
        <v>71</v>
      </c>
      <c r="D997" s="11">
        <v>870.6</v>
      </c>
      <c r="E997" s="11">
        <v>29</v>
      </c>
      <c r="F997" s="11">
        <v>25247.4</v>
      </c>
      <c r="G997" s="12">
        <v>45326</v>
      </c>
      <c r="H997" s="12">
        <v>45526</v>
      </c>
      <c r="I997">
        <f t="shared" si="15"/>
        <v>1</v>
      </c>
    </row>
    <row r="998" spans="1:9" x14ac:dyDescent="0.3">
      <c r="A998" s="11">
        <v>49303</v>
      </c>
      <c r="B998" s="11" t="s">
        <v>9</v>
      </c>
      <c r="C998" s="11" t="s">
        <v>62</v>
      </c>
      <c r="D998" s="11">
        <v>474.55</v>
      </c>
      <c r="E998" s="11">
        <v>13</v>
      </c>
      <c r="F998" s="11">
        <v>6169.15</v>
      </c>
      <c r="G998" s="12">
        <v>45122</v>
      </c>
      <c r="H998" s="12">
        <v>45146</v>
      </c>
      <c r="I998">
        <f t="shared" si="15"/>
        <v>1</v>
      </c>
    </row>
    <row r="999" spans="1:9" x14ac:dyDescent="0.3">
      <c r="A999" s="11">
        <v>42037</v>
      </c>
      <c r="B999" s="11" t="s">
        <v>23</v>
      </c>
      <c r="C999" s="11" t="s">
        <v>39</v>
      </c>
      <c r="D999" s="11">
        <v>988.47</v>
      </c>
      <c r="E999" s="11">
        <v>26</v>
      </c>
      <c r="F999" s="11">
        <v>25700.22</v>
      </c>
      <c r="G999" s="12">
        <v>45666</v>
      </c>
      <c r="H999" s="12">
        <v>45402</v>
      </c>
      <c r="I999" t="e">
        <f t="shared" si="15"/>
        <v>#NUM!</v>
      </c>
    </row>
    <row r="1000" spans="1:9" x14ac:dyDescent="0.3">
      <c r="A1000" s="11">
        <v>32167</v>
      </c>
      <c r="B1000" s="11" t="s">
        <v>13</v>
      </c>
      <c r="C1000" s="11" t="s">
        <v>44</v>
      </c>
      <c r="D1000" s="11">
        <v>654.4</v>
      </c>
      <c r="E1000" s="11">
        <v>3</v>
      </c>
      <c r="F1000" s="11">
        <v>1963.2</v>
      </c>
      <c r="G1000" s="12">
        <v>45150</v>
      </c>
      <c r="H1000" s="12">
        <v>45020</v>
      </c>
      <c r="I1000" t="e">
        <f t="shared" si="15"/>
        <v>#NUM!</v>
      </c>
    </row>
    <row r="1001" spans="1:9" x14ac:dyDescent="0.3">
      <c r="A1001" s="11">
        <v>18776</v>
      </c>
      <c r="B1001" s="11" t="s">
        <v>26</v>
      </c>
      <c r="C1001" s="11" t="s">
        <v>49</v>
      </c>
      <c r="D1001" s="11">
        <v>534.77</v>
      </c>
      <c r="E1001" s="11">
        <v>23</v>
      </c>
      <c r="F1001" s="11">
        <v>12299.71</v>
      </c>
      <c r="G1001" s="12">
        <v>45660</v>
      </c>
      <c r="H1001" s="12">
        <v>45105</v>
      </c>
      <c r="I1001" t="e">
        <f t="shared" si="15"/>
        <v>#NUM!</v>
      </c>
    </row>
    <row r="1002" spans="1:9" x14ac:dyDescent="0.3">
      <c r="A1002" s="11">
        <v>28123</v>
      </c>
      <c r="B1002" s="11" t="s">
        <v>16</v>
      </c>
      <c r="C1002" s="11" t="s">
        <v>59</v>
      </c>
      <c r="D1002" s="11">
        <v>346.37</v>
      </c>
      <c r="E1002" s="11">
        <v>31</v>
      </c>
      <c r="F1002" s="11">
        <v>10737.47</v>
      </c>
      <c r="G1002" s="12">
        <v>45305</v>
      </c>
      <c r="H1002" s="12">
        <v>45350</v>
      </c>
      <c r="I1002">
        <f t="shared" si="15"/>
        <v>1</v>
      </c>
    </row>
    <row r="1003" spans="1:9" x14ac:dyDescent="0.3">
      <c r="A1003" s="11">
        <v>60108</v>
      </c>
      <c r="B1003" s="11" t="s">
        <v>25</v>
      </c>
      <c r="C1003" s="11" t="s">
        <v>62</v>
      </c>
      <c r="D1003" s="11">
        <v>474.55</v>
      </c>
      <c r="E1003" s="11">
        <v>12</v>
      </c>
      <c r="F1003" s="11">
        <v>5694.6</v>
      </c>
      <c r="G1003" s="12">
        <v>45154</v>
      </c>
      <c r="H1003" s="12">
        <v>45492</v>
      </c>
      <c r="I1003">
        <f t="shared" si="15"/>
        <v>1</v>
      </c>
    </row>
    <row r="1004" spans="1:9" x14ac:dyDescent="0.3">
      <c r="A1004" s="11">
        <v>41641</v>
      </c>
      <c r="B1004" s="11" t="s">
        <v>26</v>
      </c>
      <c r="C1004" s="11" t="s">
        <v>63</v>
      </c>
      <c r="D1004" s="11">
        <v>611.66</v>
      </c>
      <c r="E1004" s="11">
        <v>18</v>
      </c>
      <c r="F1004" s="11">
        <v>11009.88</v>
      </c>
      <c r="G1004" s="12">
        <v>45348</v>
      </c>
      <c r="H1004" s="12">
        <v>45098</v>
      </c>
      <c r="I1004" t="e">
        <f t="shared" si="15"/>
        <v>#NUM!</v>
      </c>
    </row>
    <row r="1005" spans="1:9" x14ac:dyDescent="0.3">
      <c r="A1005" s="11">
        <v>49047</v>
      </c>
      <c r="B1005" s="11" t="s">
        <v>13</v>
      </c>
      <c r="C1005" s="11" t="s">
        <v>37</v>
      </c>
      <c r="D1005" s="11">
        <v>796.94</v>
      </c>
      <c r="E1005" s="11">
        <v>38</v>
      </c>
      <c r="F1005" s="11">
        <v>30283.72</v>
      </c>
      <c r="G1005" s="12">
        <v>44977</v>
      </c>
      <c r="H1005" s="12">
        <v>45535</v>
      </c>
      <c r="I1005">
        <f t="shared" si="15"/>
        <v>1</v>
      </c>
    </row>
    <row r="1006" spans="1:9" x14ac:dyDescent="0.3">
      <c r="A1006" s="11">
        <v>86591</v>
      </c>
      <c r="B1006" s="11" t="s">
        <v>23</v>
      </c>
      <c r="C1006" s="11" t="s">
        <v>65</v>
      </c>
      <c r="D1006" s="11">
        <v>753.12</v>
      </c>
      <c r="E1006" s="11">
        <v>4</v>
      </c>
      <c r="F1006" s="11">
        <v>3012.48</v>
      </c>
      <c r="G1006" s="12">
        <v>45522</v>
      </c>
      <c r="H1006" s="12">
        <v>45145</v>
      </c>
      <c r="I1006" t="e">
        <f t="shared" si="15"/>
        <v>#NUM!</v>
      </c>
    </row>
    <row r="1007" spans="1:9" x14ac:dyDescent="0.3">
      <c r="A1007" s="11">
        <v>81848</v>
      </c>
      <c r="B1007" s="11" t="s">
        <v>18</v>
      </c>
      <c r="C1007" s="11" t="s">
        <v>37</v>
      </c>
      <c r="D1007" s="11">
        <v>796.94</v>
      </c>
      <c r="E1007" s="11">
        <v>43</v>
      </c>
      <c r="F1007" s="11">
        <v>34268.42</v>
      </c>
      <c r="G1007" s="12">
        <v>45158</v>
      </c>
      <c r="H1007" s="12">
        <v>45593</v>
      </c>
      <c r="I1007">
        <f t="shared" si="15"/>
        <v>1</v>
      </c>
    </row>
    <row r="1008" spans="1:9" x14ac:dyDescent="0.3">
      <c r="A1008" s="11">
        <v>11044</v>
      </c>
      <c r="B1008" s="11" t="s">
        <v>16</v>
      </c>
      <c r="C1008" s="11" t="s">
        <v>57</v>
      </c>
      <c r="D1008" s="11">
        <v>404.9</v>
      </c>
      <c r="E1008" s="11">
        <v>40</v>
      </c>
      <c r="F1008" s="11">
        <v>16196</v>
      </c>
      <c r="G1008" s="12">
        <v>45355</v>
      </c>
      <c r="H1008" s="12">
        <v>45063</v>
      </c>
      <c r="I1008" t="e">
        <f t="shared" si="15"/>
        <v>#NUM!</v>
      </c>
    </row>
    <row r="1009" spans="1:9" x14ac:dyDescent="0.3">
      <c r="A1009" s="11">
        <v>30992</v>
      </c>
      <c r="B1009" s="11" t="s">
        <v>21</v>
      </c>
      <c r="C1009" s="11" t="s">
        <v>48</v>
      </c>
      <c r="D1009" s="11">
        <v>93.68</v>
      </c>
      <c r="E1009" s="11">
        <v>39</v>
      </c>
      <c r="F1009" s="11">
        <v>3653.52</v>
      </c>
      <c r="G1009" s="12">
        <v>45290</v>
      </c>
      <c r="H1009" s="12">
        <v>45288</v>
      </c>
      <c r="I1009" t="e">
        <f t="shared" si="15"/>
        <v>#NUM!</v>
      </c>
    </row>
    <row r="1010" spans="1:9" x14ac:dyDescent="0.3">
      <c r="A1010" s="11">
        <v>67822</v>
      </c>
      <c r="B1010" s="11" t="s">
        <v>15</v>
      </c>
      <c r="C1010" s="11" t="s">
        <v>68</v>
      </c>
      <c r="D1010" s="11">
        <v>795.19</v>
      </c>
      <c r="E1010" s="11">
        <v>34</v>
      </c>
      <c r="F1010" s="11">
        <v>27036.46</v>
      </c>
      <c r="G1010" s="12">
        <v>45472</v>
      </c>
      <c r="H1010" s="12">
        <v>45413</v>
      </c>
      <c r="I1010" t="e">
        <f t="shared" si="15"/>
        <v>#NUM!</v>
      </c>
    </row>
    <row r="1011" spans="1:9" x14ac:dyDescent="0.3">
      <c r="A1011" s="11">
        <v>29764</v>
      </c>
      <c r="B1011" s="11" t="s">
        <v>23</v>
      </c>
      <c r="C1011" s="11" t="s">
        <v>74</v>
      </c>
      <c r="D1011" s="11">
        <v>346.4</v>
      </c>
      <c r="E1011" s="11">
        <v>22</v>
      </c>
      <c r="F1011" s="11">
        <v>7620.8</v>
      </c>
      <c r="G1011" s="12">
        <v>45426</v>
      </c>
      <c r="H1011" s="12">
        <v>45618</v>
      </c>
      <c r="I1011">
        <f t="shared" si="15"/>
        <v>1</v>
      </c>
    </row>
    <row r="1012" spans="1:9" x14ac:dyDescent="0.3">
      <c r="A1012" s="11">
        <v>96235</v>
      </c>
      <c r="B1012" s="11" t="s">
        <v>12</v>
      </c>
      <c r="C1012" s="11" t="s">
        <v>62</v>
      </c>
      <c r="D1012" s="11">
        <v>474.55</v>
      </c>
      <c r="E1012" s="11">
        <v>30</v>
      </c>
      <c r="F1012" s="11">
        <v>14236.5</v>
      </c>
      <c r="G1012" s="12">
        <v>45670</v>
      </c>
      <c r="H1012" s="12">
        <v>45318</v>
      </c>
      <c r="I1012" t="e">
        <f t="shared" si="15"/>
        <v>#NUM!</v>
      </c>
    </row>
    <row r="1013" spans="1:9" x14ac:dyDescent="0.3">
      <c r="A1013" s="11">
        <v>16806</v>
      </c>
      <c r="B1013" s="11" t="s">
        <v>19</v>
      </c>
      <c r="C1013" s="11" t="s">
        <v>52</v>
      </c>
      <c r="D1013" s="11">
        <v>323.73</v>
      </c>
      <c r="E1013" s="11">
        <v>36</v>
      </c>
      <c r="F1013" s="11">
        <v>11654.28</v>
      </c>
      <c r="G1013" s="12">
        <v>45561</v>
      </c>
      <c r="H1013" s="12">
        <v>45451</v>
      </c>
      <c r="I1013" t="e">
        <f t="shared" si="15"/>
        <v>#NUM!</v>
      </c>
    </row>
    <row r="1014" spans="1:9" x14ac:dyDescent="0.3">
      <c r="A1014" s="11">
        <v>28485</v>
      </c>
      <c r="B1014" s="11" t="s">
        <v>25</v>
      </c>
      <c r="C1014" s="11" t="s">
        <v>41</v>
      </c>
      <c r="D1014" s="11">
        <v>110.41</v>
      </c>
      <c r="E1014" s="11">
        <v>27</v>
      </c>
      <c r="F1014" s="11">
        <v>2981.07</v>
      </c>
      <c r="G1014" s="12">
        <v>45083</v>
      </c>
      <c r="H1014" s="12">
        <v>45497</v>
      </c>
      <c r="I1014">
        <f t="shared" si="15"/>
        <v>1</v>
      </c>
    </row>
    <row r="1015" spans="1:9" x14ac:dyDescent="0.3">
      <c r="A1015" s="11">
        <v>37195</v>
      </c>
      <c r="B1015" s="11" t="s">
        <v>15</v>
      </c>
      <c r="C1015" s="11" t="s">
        <v>48</v>
      </c>
      <c r="D1015" s="11">
        <v>93.68</v>
      </c>
      <c r="E1015" s="11">
        <v>10</v>
      </c>
      <c r="F1015" s="11">
        <v>936.8</v>
      </c>
      <c r="G1015" s="12">
        <v>44949</v>
      </c>
      <c r="H1015" s="12">
        <v>45035</v>
      </c>
      <c r="I1015">
        <f t="shared" si="15"/>
        <v>1</v>
      </c>
    </row>
    <row r="1016" spans="1:9" x14ac:dyDescent="0.3">
      <c r="A1016" s="11">
        <v>48715</v>
      </c>
      <c r="B1016" s="11" t="s">
        <v>21</v>
      </c>
      <c r="C1016" s="11" t="s">
        <v>61</v>
      </c>
      <c r="D1016" s="11">
        <v>705.68</v>
      </c>
      <c r="E1016" s="11">
        <v>26</v>
      </c>
      <c r="F1016" s="11">
        <v>18347.68</v>
      </c>
      <c r="G1016" s="12">
        <v>45373</v>
      </c>
      <c r="H1016" s="12">
        <v>45407</v>
      </c>
      <c r="I1016">
        <f t="shared" si="15"/>
        <v>1</v>
      </c>
    </row>
    <row r="1017" spans="1:9" x14ac:dyDescent="0.3">
      <c r="A1017" s="11">
        <v>60297</v>
      </c>
      <c r="B1017" s="11" t="s">
        <v>11</v>
      </c>
      <c r="C1017" s="11" t="s">
        <v>34</v>
      </c>
      <c r="D1017" s="11">
        <v>222.47</v>
      </c>
      <c r="E1017" s="11">
        <v>18</v>
      </c>
      <c r="F1017" s="11">
        <v>4004.46</v>
      </c>
      <c r="G1017" s="12">
        <v>45203</v>
      </c>
      <c r="H1017" s="12">
        <v>45556</v>
      </c>
      <c r="I1017">
        <f t="shared" si="15"/>
        <v>1</v>
      </c>
    </row>
    <row r="1018" spans="1:9" x14ac:dyDescent="0.3">
      <c r="A1018" s="11">
        <v>37454</v>
      </c>
      <c r="B1018" s="11" t="s">
        <v>21</v>
      </c>
      <c r="C1018" s="11" t="s">
        <v>53</v>
      </c>
      <c r="D1018" s="11">
        <v>972.24</v>
      </c>
      <c r="E1018" s="11">
        <v>8</v>
      </c>
      <c r="F1018" s="11">
        <v>7777.92</v>
      </c>
      <c r="G1018" s="12">
        <v>45580</v>
      </c>
      <c r="H1018" s="12">
        <v>45479</v>
      </c>
      <c r="I1018" t="e">
        <f t="shared" si="15"/>
        <v>#NUM!</v>
      </c>
    </row>
    <row r="1019" spans="1:9" x14ac:dyDescent="0.3">
      <c r="A1019" s="11">
        <v>59201</v>
      </c>
      <c r="B1019" s="11" t="s">
        <v>25</v>
      </c>
      <c r="C1019" s="11" t="s">
        <v>39</v>
      </c>
      <c r="D1019" s="11">
        <v>988.47</v>
      </c>
      <c r="E1019" s="11">
        <v>21</v>
      </c>
      <c r="F1019" s="11">
        <v>20757.87</v>
      </c>
      <c r="G1019" s="12">
        <v>45431</v>
      </c>
      <c r="H1019" s="12">
        <v>45283</v>
      </c>
      <c r="I1019" t="e">
        <f t="shared" si="15"/>
        <v>#NUM!</v>
      </c>
    </row>
    <row r="1020" spans="1:9" x14ac:dyDescent="0.3">
      <c r="A1020" s="11">
        <v>15078</v>
      </c>
      <c r="B1020" s="11" t="s">
        <v>23</v>
      </c>
      <c r="C1020" s="11" t="s">
        <v>54</v>
      </c>
      <c r="D1020" s="11">
        <v>730.09</v>
      </c>
      <c r="E1020" s="11">
        <v>44</v>
      </c>
      <c r="F1020" s="11">
        <v>32123.96</v>
      </c>
      <c r="G1020" s="12">
        <v>45529</v>
      </c>
      <c r="H1020" s="12">
        <v>45578</v>
      </c>
      <c r="I1020">
        <f t="shared" si="15"/>
        <v>1</v>
      </c>
    </row>
    <row r="1021" spans="1:9" x14ac:dyDescent="0.3">
      <c r="A1021" s="11">
        <v>79957</v>
      </c>
      <c r="B1021" s="11" t="s">
        <v>14</v>
      </c>
      <c r="C1021" s="11" t="s">
        <v>51</v>
      </c>
      <c r="D1021" s="11">
        <v>533.15</v>
      </c>
      <c r="E1021" s="11">
        <v>49</v>
      </c>
      <c r="F1021" s="11">
        <v>26124.35</v>
      </c>
      <c r="G1021" s="12">
        <v>45450</v>
      </c>
      <c r="H1021" s="12">
        <v>45056</v>
      </c>
      <c r="I1021" t="e">
        <f t="shared" si="15"/>
        <v>#NUM!</v>
      </c>
    </row>
    <row r="1022" spans="1:9" x14ac:dyDescent="0.3">
      <c r="A1022" s="11">
        <v>66604</v>
      </c>
      <c r="B1022" s="11" t="s">
        <v>13</v>
      </c>
      <c r="C1022" s="11" t="s">
        <v>35</v>
      </c>
      <c r="D1022" s="11">
        <v>101.12</v>
      </c>
      <c r="E1022" s="11">
        <v>12</v>
      </c>
      <c r="F1022" s="11">
        <v>1213.44</v>
      </c>
      <c r="G1022" s="12">
        <v>45658</v>
      </c>
      <c r="H1022" s="12">
        <v>45169</v>
      </c>
      <c r="I1022" t="e">
        <f t="shared" si="15"/>
        <v>#NUM!</v>
      </c>
    </row>
    <row r="1023" spans="1:9" x14ac:dyDescent="0.3">
      <c r="A1023" s="11">
        <v>82595</v>
      </c>
      <c r="B1023" s="11" t="s">
        <v>10</v>
      </c>
      <c r="C1023" s="11" t="s">
        <v>56</v>
      </c>
      <c r="D1023" s="11">
        <v>641.34</v>
      </c>
      <c r="E1023" s="11">
        <v>7</v>
      </c>
      <c r="F1023" s="11">
        <v>4489.38</v>
      </c>
      <c r="G1023" s="12">
        <v>45210</v>
      </c>
      <c r="H1023" s="12">
        <v>45582</v>
      </c>
      <c r="I1023">
        <f t="shared" si="15"/>
        <v>1</v>
      </c>
    </row>
    <row r="1024" spans="1:9" x14ac:dyDescent="0.3">
      <c r="A1024" s="11">
        <v>68834</v>
      </c>
      <c r="B1024" s="11" t="s">
        <v>9</v>
      </c>
      <c r="C1024" s="11" t="s">
        <v>32</v>
      </c>
      <c r="D1024" s="11">
        <v>546.64</v>
      </c>
      <c r="E1024" s="11">
        <v>9</v>
      </c>
      <c r="F1024" s="11">
        <v>4919.76</v>
      </c>
      <c r="G1024" s="12">
        <v>45660</v>
      </c>
      <c r="H1024" s="12">
        <v>44992</v>
      </c>
      <c r="I1024" t="e">
        <f t="shared" si="15"/>
        <v>#NUM!</v>
      </c>
    </row>
    <row r="1025" spans="1:9" x14ac:dyDescent="0.3">
      <c r="A1025" s="11">
        <v>29529</v>
      </c>
      <c r="B1025" s="11" t="s">
        <v>12</v>
      </c>
      <c r="C1025" s="11" t="s">
        <v>43</v>
      </c>
      <c r="D1025" s="11">
        <v>608.37</v>
      </c>
      <c r="E1025" s="11">
        <v>32</v>
      </c>
      <c r="F1025" s="11">
        <v>19467.84</v>
      </c>
      <c r="G1025" s="12">
        <v>45100</v>
      </c>
      <c r="H1025" s="12">
        <v>45337</v>
      </c>
      <c r="I1025">
        <f t="shared" si="15"/>
        <v>1</v>
      </c>
    </row>
    <row r="1026" spans="1:9" x14ac:dyDescent="0.3">
      <c r="A1026" s="11">
        <v>76336</v>
      </c>
      <c r="B1026" s="11" t="s">
        <v>19</v>
      </c>
      <c r="C1026" s="11" t="s">
        <v>38</v>
      </c>
      <c r="D1026" s="11">
        <v>233.83</v>
      </c>
      <c r="E1026" s="11">
        <v>3</v>
      </c>
      <c r="F1026" s="11">
        <v>701.49</v>
      </c>
      <c r="G1026" s="12">
        <v>45111</v>
      </c>
      <c r="H1026" s="12">
        <v>45384</v>
      </c>
      <c r="I1026">
        <f t="shared" si="15"/>
        <v>1</v>
      </c>
    </row>
    <row r="1027" spans="1:9" x14ac:dyDescent="0.3">
      <c r="A1027" s="11">
        <v>84006</v>
      </c>
      <c r="B1027" s="11" t="s">
        <v>24</v>
      </c>
      <c r="C1027" s="11" t="s">
        <v>44</v>
      </c>
      <c r="D1027" s="11">
        <v>654.4</v>
      </c>
      <c r="E1027" s="11">
        <v>7</v>
      </c>
      <c r="F1027" s="11">
        <v>4580.8</v>
      </c>
      <c r="G1027" s="12">
        <v>45397</v>
      </c>
      <c r="H1027" s="12">
        <v>45641</v>
      </c>
      <c r="I1027">
        <f t="shared" ref="I1027:I1090" si="16">IF(DATEDIF(G1027,H1027,"d") &gt; 15,1,0)</f>
        <v>1</v>
      </c>
    </row>
    <row r="1028" spans="1:9" x14ac:dyDescent="0.3">
      <c r="A1028" s="11">
        <v>88218</v>
      </c>
      <c r="B1028" s="11" t="s">
        <v>10</v>
      </c>
      <c r="C1028" s="11" t="s">
        <v>61</v>
      </c>
      <c r="D1028" s="11">
        <v>705.68</v>
      </c>
      <c r="E1028" s="11">
        <v>28</v>
      </c>
      <c r="F1028" s="11">
        <v>19759.04</v>
      </c>
      <c r="G1028" s="12">
        <v>45385</v>
      </c>
      <c r="H1028" s="12">
        <v>45250</v>
      </c>
      <c r="I1028" t="e">
        <f t="shared" si="16"/>
        <v>#NUM!</v>
      </c>
    </row>
    <row r="1029" spans="1:9" x14ac:dyDescent="0.3">
      <c r="A1029" s="11">
        <v>45527</v>
      </c>
      <c r="B1029" s="11" t="s">
        <v>23</v>
      </c>
      <c r="C1029" s="11" t="s">
        <v>68</v>
      </c>
      <c r="D1029" s="11">
        <v>795.19</v>
      </c>
      <c r="E1029" s="11">
        <v>20</v>
      </c>
      <c r="F1029" s="11">
        <v>15903.8</v>
      </c>
      <c r="G1029" s="12">
        <v>45601</v>
      </c>
      <c r="H1029" s="12">
        <v>45452</v>
      </c>
      <c r="I1029" t="e">
        <f t="shared" si="16"/>
        <v>#NUM!</v>
      </c>
    </row>
    <row r="1030" spans="1:9" x14ac:dyDescent="0.3">
      <c r="A1030" s="11">
        <v>61692</v>
      </c>
      <c r="B1030" s="11" t="s">
        <v>25</v>
      </c>
      <c r="C1030" s="11" t="s">
        <v>33</v>
      </c>
      <c r="D1030" s="11">
        <v>622.16</v>
      </c>
      <c r="E1030" s="11">
        <v>4</v>
      </c>
      <c r="F1030" s="11">
        <v>2488.64</v>
      </c>
      <c r="G1030" s="12">
        <v>45331</v>
      </c>
      <c r="H1030" s="12">
        <v>45371</v>
      </c>
      <c r="I1030">
        <f t="shared" si="16"/>
        <v>1</v>
      </c>
    </row>
    <row r="1031" spans="1:9" x14ac:dyDescent="0.3">
      <c r="A1031" s="11">
        <v>60618</v>
      </c>
      <c r="B1031" s="11" t="s">
        <v>13</v>
      </c>
      <c r="C1031" s="11" t="s">
        <v>41</v>
      </c>
      <c r="D1031" s="11">
        <v>110.41</v>
      </c>
      <c r="E1031" s="11">
        <v>33</v>
      </c>
      <c r="F1031" s="11">
        <v>3643.53</v>
      </c>
      <c r="G1031" s="12">
        <v>45279</v>
      </c>
      <c r="H1031" s="12">
        <v>45496</v>
      </c>
      <c r="I1031">
        <f t="shared" si="16"/>
        <v>1</v>
      </c>
    </row>
    <row r="1032" spans="1:9" x14ac:dyDescent="0.3">
      <c r="A1032" s="11">
        <v>27478</v>
      </c>
      <c r="B1032" s="11" t="s">
        <v>24</v>
      </c>
      <c r="C1032" s="11" t="s">
        <v>38</v>
      </c>
      <c r="D1032" s="11">
        <v>233.83</v>
      </c>
      <c r="E1032" s="11">
        <v>20</v>
      </c>
      <c r="F1032" s="11">
        <v>4676.6000000000004</v>
      </c>
      <c r="G1032" s="12">
        <v>45109</v>
      </c>
      <c r="H1032" s="12">
        <v>45489</v>
      </c>
      <c r="I1032">
        <f t="shared" si="16"/>
        <v>1</v>
      </c>
    </row>
    <row r="1033" spans="1:9" x14ac:dyDescent="0.3">
      <c r="A1033" s="11">
        <v>76035</v>
      </c>
      <c r="B1033" s="11" t="s">
        <v>15</v>
      </c>
      <c r="C1033" s="11" t="s">
        <v>74</v>
      </c>
      <c r="D1033" s="11">
        <v>346.4</v>
      </c>
      <c r="E1033" s="11">
        <v>25</v>
      </c>
      <c r="F1033" s="11">
        <v>8660</v>
      </c>
      <c r="G1033" s="12">
        <v>45063</v>
      </c>
      <c r="H1033" s="12">
        <v>45083</v>
      </c>
      <c r="I1033">
        <f t="shared" si="16"/>
        <v>1</v>
      </c>
    </row>
    <row r="1034" spans="1:9" x14ac:dyDescent="0.3">
      <c r="A1034" s="11">
        <v>67834</v>
      </c>
      <c r="B1034" s="11" t="s">
        <v>12</v>
      </c>
      <c r="C1034" s="11" t="s">
        <v>33</v>
      </c>
      <c r="D1034" s="11">
        <v>622.16</v>
      </c>
      <c r="E1034" s="11">
        <v>39</v>
      </c>
      <c r="F1034" s="11">
        <v>24264.240000000002</v>
      </c>
      <c r="G1034" s="12">
        <v>45559</v>
      </c>
      <c r="H1034" s="12">
        <v>45467</v>
      </c>
      <c r="I1034" t="e">
        <f t="shared" si="16"/>
        <v>#NUM!</v>
      </c>
    </row>
    <row r="1035" spans="1:9" x14ac:dyDescent="0.3">
      <c r="A1035" s="11">
        <v>29100</v>
      </c>
      <c r="B1035" s="11" t="s">
        <v>26</v>
      </c>
      <c r="C1035" s="11" t="s">
        <v>68</v>
      </c>
      <c r="D1035" s="11">
        <v>795.19</v>
      </c>
      <c r="E1035" s="11">
        <v>25</v>
      </c>
      <c r="F1035" s="11">
        <v>19879.75</v>
      </c>
      <c r="G1035" s="12">
        <v>45118</v>
      </c>
      <c r="H1035" s="12">
        <v>45145</v>
      </c>
      <c r="I1035">
        <f t="shared" si="16"/>
        <v>1</v>
      </c>
    </row>
    <row r="1036" spans="1:9" x14ac:dyDescent="0.3">
      <c r="A1036" s="11">
        <v>64182</v>
      </c>
      <c r="B1036" s="11" t="s">
        <v>8</v>
      </c>
      <c r="C1036" s="11" t="s">
        <v>74</v>
      </c>
      <c r="D1036" s="11">
        <v>346.4</v>
      </c>
      <c r="E1036" s="11">
        <v>32</v>
      </c>
      <c r="F1036" s="11">
        <v>11084.8</v>
      </c>
      <c r="G1036" s="12">
        <v>45123</v>
      </c>
      <c r="H1036" s="12">
        <v>45634</v>
      </c>
      <c r="I1036">
        <f t="shared" si="16"/>
        <v>1</v>
      </c>
    </row>
    <row r="1037" spans="1:9" x14ac:dyDescent="0.3">
      <c r="A1037" s="11">
        <v>74411</v>
      </c>
      <c r="B1037" s="11" t="s">
        <v>15</v>
      </c>
      <c r="C1037" s="11" t="s">
        <v>28</v>
      </c>
      <c r="D1037" s="11">
        <v>855.99</v>
      </c>
      <c r="E1037" s="11">
        <v>19</v>
      </c>
      <c r="F1037" s="11">
        <v>16263.81</v>
      </c>
      <c r="G1037" s="12">
        <v>45008</v>
      </c>
      <c r="H1037" s="12">
        <v>45458</v>
      </c>
      <c r="I1037">
        <f t="shared" si="16"/>
        <v>1</v>
      </c>
    </row>
    <row r="1038" spans="1:9" x14ac:dyDescent="0.3">
      <c r="A1038" s="11">
        <v>49483</v>
      </c>
      <c r="B1038" s="11" t="s">
        <v>21</v>
      </c>
      <c r="C1038" s="11" t="s">
        <v>38</v>
      </c>
      <c r="D1038" s="11">
        <v>233.83</v>
      </c>
      <c r="E1038" s="11">
        <v>50</v>
      </c>
      <c r="F1038" s="11">
        <v>11691.5</v>
      </c>
      <c r="G1038" s="12">
        <v>45303</v>
      </c>
      <c r="H1038" s="12">
        <v>45268</v>
      </c>
      <c r="I1038" t="e">
        <f t="shared" si="16"/>
        <v>#NUM!</v>
      </c>
    </row>
    <row r="1039" spans="1:9" x14ac:dyDescent="0.3">
      <c r="A1039" s="11">
        <v>59215</v>
      </c>
      <c r="B1039" s="11" t="s">
        <v>20</v>
      </c>
      <c r="C1039" s="11" t="s">
        <v>55</v>
      </c>
      <c r="D1039" s="11">
        <v>399.32</v>
      </c>
      <c r="E1039" s="11">
        <v>48</v>
      </c>
      <c r="F1039" s="11">
        <v>19167.36</v>
      </c>
      <c r="G1039" s="12">
        <v>45354</v>
      </c>
      <c r="H1039" s="12">
        <v>45541</v>
      </c>
      <c r="I1039">
        <f t="shared" si="16"/>
        <v>1</v>
      </c>
    </row>
    <row r="1040" spans="1:9" x14ac:dyDescent="0.3">
      <c r="A1040" s="11">
        <v>43698</v>
      </c>
      <c r="B1040" s="11" t="s">
        <v>19</v>
      </c>
      <c r="C1040" s="11" t="s">
        <v>36</v>
      </c>
      <c r="D1040" s="11">
        <v>596.97</v>
      </c>
      <c r="E1040" s="11">
        <v>26</v>
      </c>
      <c r="F1040" s="11">
        <v>15521.22</v>
      </c>
      <c r="G1040" s="12">
        <v>45350</v>
      </c>
      <c r="H1040" s="12">
        <v>45093</v>
      </c>
      <c r="I1040" t="e">
        <f t="shared" si="16"/>
        <v>#NUM!</v>
      </c>
    </row>
    <row r="1041" spans="1:9" x14ac:dyDescent="0.3">
      <c r="A1041" s="11">
        <v>78708</v>
      </c>
      <c r="B1041" s="11" t="s">
        <v>8</v>
      </c>
      <c r="C1041" s="11" t="s">
        <v>29</v>
      </c>
      <c r="D1041" s="11">
        <v>683.98</v>
      </c>
      <c r="E1041" s="11">
        <v>4</v>
      </c>
      <c r="F1041" s="11">
        <v>2735.92</v>
      </c>
      <c r="G1041" s="12">
        <v>45519</v>
      </c>
      <c r="H1041" s="12">
        <v>45288</v>
      </c>
      <c r="I1041" t="e">
        <f t="shared" si="16"/>
        <v>#NUM!</v>
      </c>
    </row>
    <row r="1042" spans="1:9" x14ac:dyDescent="0.3">
      <c r="A1042" s="11">
        <v>60782</v>
      </c>
      <c r="B1042" s="11" t="s">
        <v>17</v>
      </c>
      <c r="C1042" s="11" t="s">
        <v>36</v>
      </c>
      <c r="D1042" s="11">
        <v>596.97</v>
      </c>
      <c r="E1042" s="11">
        <v>43</v>
      </c>
      <c r="F1042" s="11">
        <v>25669.71</v>
      </c>
      <c r="G1042" s="12">
        <v>45436</v>
      </c>
      <c r="H1042" s="12">
        <v>45479</v>
      </c>
      <c r="I1042">
        <f t="shared" si="16"/>
        <v>1</v>
      </c>
    </row>
    <row r="1043" spans="1:9" x14ac:dyDescent="0.3">
      <c r="A1043" s="11">
        <v>82940</v>
      </c>
      <c r="B1043" s="11" t="s">
        <v>19</v>
      </c>
      <c r="C1043" s="11" t="s">
        <v>43</v>
      </c>
      <c r="D1043" s="11">
        <v>608.37</v>
      </c>
      <c r="E1043" s="11">
        <v>43</v>
      </c>
      <c r="F1043" s="11">
        <v>26159.91</v>
      </c>
      <c r="G1043" s="12">
        <v>45423</v>
      </c>
      <c r="H1043" s="12">
        <v>45243</v>
      </c>
      <c r="I1043" t="e">
        <f t="shared" si="16"/>
        <v>#NUM!</v>
      </c>
    </row>
    <row r="1044" spans="1:9" x14ac:dyDescent="0.3">
      <c r="A1044" s="11">
        <v>77244</v>
      </c>
      <c r="B1044" s="11" t="s">
        <v>21</v>
      </c>
      <c r="C1044" s="11" t="s">
        <v>55</v>
      </c>
      <c r="D1044" s="11">
        <v>399.32</v>
      </c>
      <c r="E1044" s="11">
        <v>41</v>
      </c>
      <c r="F1044" s="11">
        <v>16372.12</v>
      </c>
      <c r="G1044" s="12">
        <v>45248</v>
      </c>
      <c r="H1044" s="12">
        <v>45433</v>
      </c>
      <c r="I1044">
        <f t="shared" si="16"/>
        <v>1</v>
      </c>
    </row>
    <row r="1045" spans="1:9" x14ac:dyDescent="0.3">
      <c r="A1045" s="11">
        <v>16945</v>
      </c>
      <c r="B1045" s="11" t="s">
        <v>17</v>
      </c>
      <c r="C1045" s="11" t="s">
        <v>42</v>
      </c>
      <c r="D1045" s="11">
        <v>112.52</v>
      </c>
      <c r="E1045" s="11">
        <v>38</v>
      </c>
      <c r="F1045" s="11">
        <v>4275.76</v>
      </c>
      <c r="G1045" s="12">
        <v>45570</v>
      </c>
      <c r="H1045" s="12">
        <v>45533</v>
      </c>
      <c r="I1045" t="e">
        <f t="shared" si="16"/>
        <v>#NUM!</v>
      </c>
    </row>
    <row r="1046" spans="1:9" x14ac:dyDescent="0.3">
      <c r="A1046" s="11">
        <v>48607</v>
      </c>
      <c r="B1046" s="11" t="s">
        <v>16</v>
      </c>
      <c r="C1046" s="11" t="s">
        <v>40</v>
      </c>
      <c r="D1046" s="11">
        <v>875.47</v>
      </c>
      <c r="E1046" s="11">
        <v>13</v>
      </c>
      <c r="F1046" s="11">
        <v>11381.11</v>
      </c>
      <c r="G1046" s="12">
        <v>45339</v>
      </c>
      <c r="H1046" s="12">
        <v>45257</v>
      </c>
      <c r="I1046" t="e">
        <f t="shared" si="16"/>
        <v>#NUM!</v>
      </c>
    </row>
    <row r="1047" spans="1:9" x14ac:dyDescent="0.3">
      <c r="A1047" s="11">
        <v>11708</v>
      </c>
      <c r="B1047" s="11" t="s">
        <v>16</v>
      </c>
      <c r="C1047" s="11" t="s">
        <v>67</v>
      </c>
      <c r="D1047" s="11">
        <v>402.36</v>
      </c>
      <c r="E1047" s="11">
        <v>39</v>
      </c>
      <c r="F1047" s="11">
        <v>15692.04</v>
      </c>
      <c r="G1047" s="12">
        <v>45376</v>
      </c>
      <c r="H1047" s="12">
        <v>45029</v>
      </c>
      <c r="I1047" t="e">
        <f t="shared" si="16"/>
        <v>#NUM!</v>
      </c>
    </row>
    <row r="1048" spans="1:9" x14ac:dyDescent="0.3">
      <c r="A1048" s="11">
        <v>13374</v>
      </c>
      <c r="B1048" s="11" t="s">
        <v>25</v>
      </c>
      <c r="C1048" s="11" t="s">
        <v>33</v>
      </c>
      <c r="D1048" s="11">
        <v>622.16</v>
      </c>
      <c r="E1048" s="11">
        <v>27</v>
      </c>
      <c r="F1048" s="11">
        <v>16798.32</v>
      </c>
      <c r="G1048" s="12">
        <v>45629</v>
      </c>
      <c r="H1048" s="12">
        <v>45235</v>
      </c>
      <c r="I1048" t="e">
        <f t="shared" si="16"/>
        <v>#NUM!</v>
      </c>
    </row>
    <row r="1049" spans="1:9" x14ac:dyDescent="0.3">
      <c r="A1049" s="11">
        <v>77882</v>
      </c>
      <c r="B1049" s="11" t="s">
        <v>20</v>
      </c>
      <c r="C1049" s="11" t="s">
        <v>42</v>
      </c>
      <c r="D1049" s="11">
        <v>112.52</v>
      </c>
      <c r="E1049" s="11">
        <v>3</v>
      </c>
      <c r="F1049" s="11">
        <v>337.56</v>
      </c>
      <c r="G1049" s="12">
        <v>45020</v>
      </c>
      <c r="H1049" s="12">
        <v>45124</v>
      </c>
      <c r="I1049">
        <f t="shared" si="16"/>
        <v>1</v>
      </c>
    </row>
    <row r="1050" spans="1:9" x14ac:dyDescent="0.3">
      <c r="A1050" s="11">
        <v>69995</v>
      </c>
      <c r="B1050" s="11" t="s">
        <v>26</v>
      </c>
      <c r="C1050" s="11" t="s">
        <v>38</v>
      </c>
      <c r="D1050" s="11">
        <v>233.83</v>
      </c>
      <c r="E1050" s="11">
        <v>6</v>
      </c>
      <c r="F1050" s="11">
        <v>1402.98</v>
      </c>
      <c r="G1050" s="12">
        <v>45664</v>
      </c>
      <c r="H1050" s="12">
        <v>45062</v>
      </c>
      <c r="I1050" t="e">
        <f t="shared" si="16"/>
        <v>#NUM!</v>
      </c>
    </row>
    <row r="1051" spans="1:9" x14ac:dyDescent="0.3">
      <c r="A1051" s="11">
        <v>48949</v>
      </c>
      <c r="B1051" s="11" t="s">
        <v>27</v>
      </c>
      <c r="C1051" s="11" t="s">
        <v>44</v>
      </c>
      <c r="D1051" s="11">
        <v>654.4</v>
      </c>
      <c r="E1051" s="11">
        <v>18</v>
      </c>
      <c r="F1051" s="11">
        <v>11779.2</v>
      </c>
      <c r="G1051" s="12">
        <v>45008</v>
      </c>
      <c r="H1051" s="12">
        <v>45509</v>
      </c>
      <c r="I1051">
        <f t="shared" si="16"/>
        <v>1</v>
      </c>
    </row>
    <row r="1052" spans="1:9" x14ac:dyDescent="0.3">
      <c r="A1052" s="11">
        <v>56249</v>
      </c>
      <c r="B1052" s="11" t="s">
        <v>25</v>
      </c>
      <c r="C1052" s="11" t="s">
        <v>62</v>
      </c>
      <c r="D1052" s="11">
        <v>474.55</v>
      </c>
      <c r="E1052" s="11">
        <v>4</v>
      </c>
      <c r="F1052" s="11">
        <v>1898.2</v>
      </c>
      <c r="G1052" s="12">
        <v>45136</v>
      </c>
      <c r="H1052" s="12">
        <v>45369</v>
      </c>
      <c r="I1052">
        <f t="shared" si="16"/>
        <v>1</v>
      </c>
    </row>
    <row r="1053" spans="1:9" x14ac:dyDescent="0.3">
      <c r="A1053" s="11">
        <v>56328</v>
      </c>
      <c r="B1053" s="11" t="s">
        <v>10</v>
      </c>
      <c r="C1053" s="11" t="s">
        <v>64</v>
      </c>
      <c r="D1053" s="11">
        <v>796.51</v>
      </c>
      <c r="E1053" s="11">
        <v>49</v>
      </c>
      <c r="F1053" s="11">
        <v>39028.99</v>
      </c>
      <c r="G1053" s="12">
        <v>45530</v>
      </c>
      <c r="H1053" s="12">
        <v>45389</v>
      </c>
      <c r="I1053" t="e">
        <f t="shared" si="16"/>
        <v>#NUM!</v>
      </c>
    </row>
    <row r="1054" spans="1:9" x14ac:dyDescent="0.3">
      <c r="A1054" s="11">
        <v>35480</v>
      </c>
      <c r="B1054" s="11" t="s">
        <v>14</v>
      </c>
      <c r="C1054" s="11" t="s">
        <v>42</v>
      </c>
      <c r="D1054" s="11">
        <v>112.52</v>
      </c>
      <c r="E1054" s="11">
        <v>50</v>
      </c>
      <c r="F1054" s="11">
        <v>5626</v>
      </c>
      <c r="G1054" s="12">
        <v>45647</v>
      </c>
      <c r="H1054" s="12">
        <v>45254</v>
      </c>
      <c r="I1054" t="e">
        <f t="shared" si="16"/>
        <v>#NUM!</v>
      </c>
    </row>
    <row r="1055" spans="1:9" x14ac:dyDescent="0.3">
      <c r="A1055" s="11">
        <v>40804</v>
      </c>
      <c r="B1055" s="11" t="s">
        <v>13</v>
      </c>
      <c r="C1055" s="11" t="s">
        <v>56</v>
      </c>
      <c r="D1055" s="11">
        <v>641.34</v>
      </c>
      <c r="E1055" s="11">
        <v>20</v>
      </c>
      <c r="F1055" s="11">
        <v>12826.8</v>
      </c>
      <c r="G1055" s="12">
        <v>45007</v>
      </c>
      <c r="H1055" s="12">
        <v>45527</v>
      </c>
      <c r="I1055">
        <f t="shared" si="16"/>
        <v>1</v>
      </c>
    </row>
    <row r="1056" spans="1:9" x14ac:dyDescent="0.3">
      <c r="A1056" s="11">
        <v>73796</v>
      </c>
      <c r="B1056" s="11" t="s">
        <v>22</v>
      </c>
      <c r="C1056" s="11" t="s">
        <v>28</v>
      </c>
      <c r="D1056" s="11">
        <v>855.99</v>
      </c>
      <c r="E1056" s="11">
        <v>28</v>
      </c>
      <c r="F1056" s="11">
        <v>23967.72</v>
      </c>
      <c r="G1056" s="12">
        <v>45266</v>
      </c>
      <c r="H1056" s="12">
        <v>45102</v>
      </c>
      <c r="I1056" t="e">
        <f t="shared" si="16"/>
        <v>#NUM!</v>
      </c>
    </row>
    <row r="1057" spans="1:9" x14ac:dyDescent="0.3">
      <c r="A1057" s="11">
        <v>65836</v>
      </c>
      <c r="B1057" s="11" t="s">
        <v>21</v>
      </c>
      <c r="C1057" s="11" t="s">
        <v>50</v>
      </c>
      <c r="D1057" s="11">
        <v>468.95</v>
      </c>
      <c r="E1057" s="11">
        <v>22</v>
      </c>
      <c r="F1057" s="11">
        <v>10316.9</v>
      </c>
      <c r="G1057" s="12">
        <v>45597</v>
      </c>
      <c r="H1057" s="12">
        <v>45077</v>
      </c>
      <c r="I1057" t="e">
        <f t="shared" si="16"/>
        <v>#NUM!</v>
      </c>
    </row>
    <row r="1058" spans="1:9" x14ac:dyDescent="0.3">
      <c r="A1058" s="11">
        <v>70243</v>
      </c>
      <c r="B1058" s="11" t="s">
        <v>25</v>
      </c>
      <c r="C1058" s="11" t="s">
        <v>68</v>
      </c>
      <c r="D1058" s="11">
        <v>795.19</v>
      </c>
      <c r="E1058" s="11">
        <v>16</v>
      </c>
      <c r="F1058" s="11">
        <v>12723.04</v>
      </c>
      <c r="G1058" s="12">
        <v>45038</v>
      </c>
      <c r="H1058" s="12">
        <v>45495</v>
      </c>
      <c r="I1058">
        <f t="shared" si="16"/>
        <v>1</v>
      </c>
    </row>
    <row r="1059" spans="1:9" x14ac:dyDescent="0.3">
      <c r="A1059" s="11">
        <v>21507</v>
      </c>
      <c r="B1059" s="11" t="s">
        <v>22</v>
      </c>
      <c r="C1059" s="11" t="s">
        <v>62</v>
      </c>
      <c r="D1059" s="11">
        <v>474.55</v>
      </c>
      <c r="E1059" s="11">
        <v>21</v>
      </c>
      <c r="F1059" s="11">
        <v>9965.5499999999993</v>
      </c>
      <c r="G1059" s="12">
        <v>45304</v>
      </c>
      <c r="H1059" s="12">
        <v>45453</v>
      </c>
      <c r="I1059">
        <f t="shared" si="16"/>
        <v>1</v>
      </c>
    </row>
    <row r="1060" spans="1:9" x14ac:dyDescent="0.3">
      <c r="A1060" s="11">
        <v>39273</v>
      </c>
      <c r="B1060" s="11" t="s">
        <v>26</v>
      </c>
      <c r="C1060" s="11" t="s">
        <v>60</v>
      </c>
      <c r="D1060" s="11">
        <v>184.57</v>
      </c>
      <c r="E1060" s="11">
        <v>36</v>
      </c>
      <c r="F1060" s="11">
        <v>6644.52</v>
      </c>
      <c r="G1060" s="12">
        <v>45187</v>
      </c>
      <c r="H1060" s="12">
        <v>45527</v>
      </c>
      <c r="I1060">
        <f t="shared" si="16"/>
        <v>1</v>
      </c>
    </row>
    <row r="1061" spans="1:9" x14ac:dyDescent="0.3">
      <c r="A1061" s="11">
        <v>57312</v>
      </c>
      <c r="B1061" s="11" t="s">
        <v>25</v>
      </c>
      <c r="C1061" s="11" t="s">
        <v>76</v>
      </c>
      <c r="D1061" s="11">
        <v>95.12</v>
      </c>
      <c r="E1061" s="11">
        <v>28</v>
      </c>
      <c r="F1061" s="11">
        <v>2663.36</v>
      </c>
      <c r="G1061" s="12">
        <v>45429</v>
      </c>
      <c r="H1061" s="12">
        <v>45634</v>
      </c>
      <c r="I1061">
        <f t="shared" si="16"/>
        <v>1</v>
      </c>
    </row>
    <row r="1062" spans="1:9" x14ac:dyDescent="0.3">
      <c r="A1062" s="11">
        <v>35200</v>
      </c>
      <c r="B1062" s="11" t="s">
        <v>21</v>
      </c>
      <c r="C1062" s="11" t="s">
        <v>30</v>
      </c>
      <c r="D1062" s="11">
        <v>68.05</v>
      </c>
      <c r="E1062" s="11">
        <v>4</v>
      </c>
      <c r="F1062" s="11">
        <v>272.2</v>
      </c>
      <c r="G1062" s="12">
        <v>45596</v>
      </c>
      <c r="H1062" s="12">
        <v>45393</v>
      </c>
      <c r="I1062" t="e">
        <f t="shared" si="16"/>
        <v>#NUM!</v>
      </c>
    </row>
    <row r="1063" spans="1:9" x14ac:dyDescent="0.3">
      <c r="A1063" s="11">
        <v>12827</v>
      </c>
      <c r="B1063" s="11" t="s">
        <v>16</v>
      </c>
      <c r="C1063" s="11" t="s">
        <v>32</v>
      </c>
      <c r="D1063" s="11">
        <v>546.64</v>
      </c>
      <c r="E1063" s="11">
        <v>26</v>
      </c>
      <c r="F1063" s="11">
        <v>14212.64</v>
      </c>
      <c r="G1063" s="12">
        <v>45407</v>
      </c>
      <c r="H1063" s="12">
        <v>45352</v>
      </c>
      <c r="I1063" t="e">
        <f t="shared" si="16"/>
        <v>#NUM!</v>
      </c>
    </row>
    <row r="1064" spans="1:9" x14ac:dyDescent="0.3">
      <c r="A1064" s="11">
        <v>72981</v>
      </c>
      <c r="B1064" s="11" t="s">
        <v>19</v>
      </c>
      <c r="C1064" s="11" t="s">
        <v>48</v>
      </c>
      <c r="D1064" s="11">
        <v>93.68</v>
      </c>
      <c r="E1064" s="11">
        <v>25</v>
      </c>
      <c r="F1064" s="11">
        <v>2342</v>
      </c>
      <c r="G1064" s="12">
        <v>45074</v>
      </c>
      <c r="H1064" s="12">
        <v>45627</v>
      </c>
      <c r="I1064">
        <f t="shared" si="16"/>
        <v>1</v>
      </c>
    </row>
    <row r="1065" spans="1:9" x14ac:dyDescent="0.3">
      <c r="A1065" s="11">
        <v>97477</v>
      </c>
      <c r="B1065" s="11" t="s">
        <v>9</v>
      </c>
      <c r="C1065" s="11" t="s">
        <v>53</v>
      </c>
      <c r="D1065" s="11">
        <v>972.24</v>
      </c>
      <c r="E1065" s="11">
        <v>7</v>
      </c>
      <c r="F1065" s="11">
        <v>6805.68</v>
      </c>
      <c r="G1065" s="12">
        <v>45547</v>
      </c>
      <c r="H1065" s="12">
        <v>45116</v>
      </c>
      <c r="I1065" t="e">
        <f t="shared" si="16"/>
        <v>#NUM!</v>
      </c>
    </row>
    <row r="1066" spans="1:9" x14ac:dyDescent="0.3">
      <c r="A1066" s="11">
        <v>69317</v>
      </c>
      <c r="B1066" s="11" t="s">
        <v>27</v>
      </c>
      <c r="C1066" s="11" t="s">
        <v>59</v>
      </c>
      <c r="D1066" s="11">
        <v>346.37</v>
      </c>
      <c r="E1066" s="11">
        <v>40</v>
      </c>
      <c r="F1066" s="11">
        <v>13854.8</v>
      </c>
      <c r="G1066" s="12">
        <v>45307</v>
      </c>
      <c r="H1066" s="12">
        <v>45085</v>
      </c>
      <c r="I1066" t="e">
        <f t="shared" si="16"/>
        <v>#NUM!</v>
      </c>
    </row>
    <row r="1067" spans="1:9" x14ac:dyDescent="0.3">
      <c r="A1067" s="11">
        <v>20096</v>
      </c>
      <c r="B1067" s="11" t="s">
        <v>16</v>
      </c>
      <c r="C1067" s="11" t="s">
        <v>63</v>
      </c>
      <c r="D1067" s="11">
        <v>611.66</v>
      </c>
      <c r="E1067" s="11">
        <v>16</v>
      </c>
      <c r="F1067" s="11">
        <v>9786.56</v>
      </c>
      <c r="G1067" s="12">
        <v>45314</v>
      </c>
      <c r="H1067" s="12">
        <v>45036</v>
      </c>
      <c r="I1067" t="e">
        <f t="shared" si="16"/>
        <v>#NUM!</v>
      </c>
    </row>
    <row r="1068" spans="1:9" x14ac:dyDescent="0.3">
      <c r="A1068" s="11">
        <v>69091</v>
      </c>
      <c r="B1068" s="11" t="s">
        <v>15</v>
      </c>
      <c r="C1068" s="11" t="s">
        <v>57</v>
      </c>
      <c r="D1068" s="11">
        <v>404.9</v>
      </c>
      <c r="E1068" s="11">
        <v>41</v>
      </c>
      <c r="F1068" s="11">
        <v>16600.900000000001</v>
      </c>
      <c r="G1068" s="12">
        <v>45439</v>
      </c>
      <c r="H1068" s="12">
        <v>45538</v>
      </c>
      <c r="I1068">
        <f t="shared" si="16"/>
        <v>1</v>
      </c>
    </row>
    <row r="1069" spans="1:9" x14ac:dyDescent="0.3">
      <c r="A1069" s="11">
        <v>89796</v>
      </c>
      <c r="B1069" s="11" t="s">
        <v>18</v>
      </c>
      <c r="C1069" s="11" t="s">
        <v>72</v>
      </c>
      <c r="D1069" s="11">
        <v>913.18</v>
      </c>
      <c r="E1069" s="11">
        <v>27</v>
      </c>
      <c r="F1069" s="11">
        <v>24655.86</v>
      </c>
      <c r="G1069" s="12">
        <v>45314</v>
      </c>
      <c r="H1069" s="12">
        <v>45478</v>
      </c>
      <c r="I1069">
        <f t="shared" si="16"/>
        <v>1</v>
      </c>
    </row>
    <row r="1070" spans="1:9" x14ac:dyDescent="0.3">
      <c r="A1070" s="11">
        <v>56718</v>
      </c>
      <c r="B1070" s="11" t="s">
        <v>17</v>
      </c>
      <c r="C1070" s="11" t="s">
        <v>59</v>
      </c>
      <c r="D1070" s="11">
        <v>346.37</v>
      </c>
      <c r="E1070" s="11">
        <v>12</v>
      </c>
      <c r="F1070" s="11">
        <v>4156.4399999999996</v>
      </c>
      <c r="G1070" s="12">
        <v>44956</v>
      </c>
      <c r="H1070" s="12">
        <v>45095</v>
      </c>
      <c r="I1070">
        <f t="shared" si="16"/>
        <v>1</v>
      </c>
    </row>
    <row r="1071" spans="1:9" x14ac:dyDescent="0.3">
      <c r="A1071" s="11">
        <v>30658</v>
      </c>
      <c r="B1071" s="11" t="s">
        <v>10</v>
      </c>
      <c r="C1071" s="11" t="s">
        <v>45</v>
      </c>
      <c r="D1071" s="11">
        <v>366.3</v>
      </c>
      <c r="E1071" s="11">
        <v>1</v>
      </c>
      <c r="F1071" s="11">
        <v>366.3</v>
      </c>
      <c r="G1071" s="12">
        <v>45542</v>
      </c>
      <c r="H1071" s="12">
        <v>45015</v>
      </c>
      <c r="I1071" t="e">
        <f t="shared" si="16"/>
        <v>#NUM!</v>
      </c>
    </row>
    <row r="1072" spans="1:9" x14ac:dyDescent="0.3">
      <c r="A1072" s="11">
        <v>70885</v>
      </c>
      <c r="B1072" s="11" t="s">
        <v>25</v>
      </c>
      <c r="C1072" s="11" t="s">
        <v>54</v>
      </c>
      <c r="D1072" s="11">
        <v>730.09</v>
      </c>
      <c r="E1072" s="11">
        <v>10</v>
      </c>
      <c r="F1072" s="11">
        <v>7300.9</v>
      </c>
      <c r="G1072" s="12">
        <v>45020</v>
      </c>
      <c r="H1072" s="12">
        <v>45033</v>
      </c>
      <c r="I1072">
        <f t="shared" si="16"/>
        <v>0</v>
      </c>
    </row>
    <row r="1073" spans="1:9" x14ac:dyDescent="0.3">
      <c r="A1073" s="11">
        <v>47939</v>
      </c>
      <c r="B1073" s="11" t="s">
        <v>23</v>
      </c>
      <c r="C1073" s="11" t="s">
        <v>34</v>
      </c>
      <c r="D1073" s="11">
        <v>222.47</v>
      </c>
      <c r="E1073" s="11">
        <v>15</v>
      </c>
      <c r="F1073" s="11">
        <v>3337.05</v>
      </c>
      <c r="G1073" s="12">
        <v>45646</v>
      </c>
      <c r="H1073" s="12">
        <v>45023</v>
      </c>
      <c r="I1073" t="e">
        <f t="shared" si="16"/>
        <v>#NUM!</v>
      </c>
    </row>
    <row r="1074" spans="1:9" x14ac:dyDescent="0.3">
      <c r="A1074" s="11">
        <v>42933</v>
      </c>
      <c r="B1074" s="11" t="s">
        <v>9</v>
      </c>
      <c r="C1074" s="11" t="s">
        <v>57</v>
      </c>
      <c r="D1074" s="11">
        <v>404.9</v>
      </c>
      <c r="E1074" s="11">
        <v>9</v>
      </c>
      <c r="F1074" s="11">
        <v>3644.1</v>
      </c>
      <c r="G1074" s="12">
        <v>45412</v>
      </c>
      <c r="H1074" s="12">
        <v>45612</v>
      </c>
      <c r="I1074">
        <f t="shared" si="16"/>
        <v>1</v>
      </c>
    </row>
    <row r="1075" spans="1:9" x14ac:dyDescent="0.3">
      <c r="A1075" s="11">
        <v>87510</v>
      </c>
      <c r="B1075" s="11" t="s">
        <v>25</v>
      </c>
      <c r="C1075" s="11" t="s">
        <v>70</v>
      </c>
      <c r="D1075" s="11">
        <v>430.1</v>
      </c>
      <c r="E1075" s="11">
        <v>2</v>
      </c>
      <c r="F1075" s="11">
        <v>860.2</v>
      </c>
      <c r="G1075" s="12">
        <v>45418</v>
      </c>
      <c r="H1075" s="12">
        <v>45074</v>
      </c>
      <c r="I1075" t="e">
        <f t="shared" si="16"/>
        <v>#NUM!</v>
      </c>
    </row>
    <row r="1076" spans="1:9" x14ac:dyDescent="0.3">
      <c r="A1076" s="11">
        <v>46401</v>
      </c>
      <c r="B1076" s="11" t="s">
        <v>23</v>
      </c>
      <c r="C1076" s="11" t="s">
        <v>77</v>
      </c>
      <c r="D1076" s="11">
        <v>761.92</v>
      </c>
      <c r="E1076" s="11">
        <v>12</v>
      </c>
      <c r="F1076" s="11">
        <v>9143.0400000000009</v>
      </c>
      <c r="G1076" s="12">
        <v>45617</v>
      </c>
      <c r="H1076" s="12">
        <v>45564</v>
      </c>
      <c r="I1076" t="e">
        <f t="shared" si="16"/>
        <v>#NUM!</v>
      </c>
    </row>
    <row r="1077" spans="1:9" x14ac:dyDescent="0.3">
      <c r="A1077" s="11">
        <v>33885</v>
      </c>
      <c r="B1077" s="11" t="s">
        <v>19</v>
      </c>
      <c r="C1077" s="11" t="s">
        <v>72</v>
      </c>
      <c r="D1077" s="11">
        <v>913.18</v>
      </c>
      <c r="E1077" s="11">
        <v>3</v>
      </c>
      <c r="F1077" s="11">
        <v>2739.54</v>
      </c>
      <c r="G1077" s="12">
        <v>45580</v>
      </c>
      <c r="H1077" s="12">
        <v>44948</v>
      </c>
      <c r="I1077" t="e">
        <f t="shared" si="16"/>
        <v>#NUM!</v>
      </c>
    </row>
    <row r="1078" spans="1:9" x14ac:dyDescent="0.3">
      <c r="A1078" s="11">
        <v>57330</v>
      </c>
      <c r="B1078" s="11" t="s">
        <v>17</v>
      </c>
      <c r="C1078" s="11" t="s">
        <v>65</v>
      </c>
      <c r="D1078" s="11">
        <v>753.12</v>
      </c>
      <c r="E1078" s="11">
        <v>12</v>
      </c>
      <c r="F1078" s="11">
        <v>9037.44</v>
      </c>
      <c r="G1078" s="12">
        <v>45666</v>
      </c>
      <c r="H1078" s="12">
        <v>45595</v>
      </c>
      <c r="I1078" t="e">
        <f t="shared" si="16"/>
        <v>#NUM!</v>
      </c>
    </row>
    <row r="1079" spans="1:9" x14ac:dyDescent="0.3">
      <c r="A1079" s="11">
        <v>72312</v>
      </c>
      <c r="B1079" s="11" t="s">
        <v>23</v>
      </c>
      <c r="C1079" s="11" t="s">
        <v>77</v>
      </c>
      <c r="D1079" s="11">
        <v>761.92</v>
      </c>
      <c r="E1079" s="11">
        <v>13</v>
      </c>
      <c r="F1079" s="11">
        <v>9904.9599999999991</v>
      </c>
      <c r="G1079" s="12">
        <v>44983</v>
      </c>
      <c r="H1079" s="12">
        <v>45277</v>
      </c>
      <c r="I1079">
        <f t="shared" si="16"/>
        <v>1</v>
      </c>
    </row>
    <row r="1080" spans="1:9" x14ac:dyDescent="0.3">
      <c r="A1080" s="11">
        <v>92259</v>
      </c>
      <c r="B1080" s="11" t="s">
        <v>23</v>
      </c>
      <c r="C1080" s="11" t="s">
        <v>56</v>
      </c>
      <c r="D1080" s="11">
        <v>641.34</v>
      </c>
      <c r="E1080" s="11">
        <v>5</v>
      </c>
      <c r="F1080" s="11">
        <v>3206.7</v>
      </c>
      <c r="G1080" s="12">
        <v>45011</v>
      </c>
      <c r="H1080" s="12">
        <v>45493</v>
      </c>
      <c r="I1080">
        <f t="shared" si="16"/>
        <v>1</v>
      </c>
    </row>
    <row r="1081" spans="1:9" x14ac:dyDescent="0.3">
      <c r="A1081" s="11">
        <v>75119</v>
      </c>
      <c r="B1081" s="11" t="s">
        <v>11</v>
      </c>
      <c r="C1081" s="11" t="s">
        <v>48</v>
      </c>
      <c r="D1081" s="11">
        <v>93.68</v>
      </c>
      <c r="E1081" s="11">
        <v>50</v>
      </c>
      <c r="F1081" s="11">
        <v>4684</v>
      </c>
      <c r="G1081" s="12">
        <v>45276</v>
      </c>
      <c r="H1081" s="12">
        <v>45042</v>
      </c>
      <c r="I1081" t="e">
        <f t="shared" si="16"/>
        <v>#NUM!</v>
      </c>
    </row>
    <row r="1082" spans="1:9" x14ac:dyDescent="0.3">
      <c r="A1082" s="11">
        <v>50963</v>
      </c>
      <c r="B1082" s="11" t="s">
        <v>22</v>
      </c>
      <c r="C1082" s="11" t="s">
        <v>53</v>
      </c>
      <c r="D1082" s="11">
        <v>972.24</v>
      </c>
      <c r="E1082" s="11">
        <v>39</v>
      </c>
      <c r="F1082" s="11">
        <v>37917.360000000001</v>
      </c>
      <c r="G1082" s="12">
        <v>45356</v>
      </c>
      <c r="H1082" s="12">
        <v>45205</v>
      </c>
      <c r="I1082" t="e">
        <f t="shared" si="16"/>
        <v>#NUM!</v>
      </c>
    </row>
    <row r="1083" spans="1:9" x14ac:dyDescent="0.3">
      <c r="A1083" s="11">
        <v>98142</v>
      </c>
      <c r="B1083" s="11" t="s">
        <v>14</v>
      </c>
      <c r="C1083" s="11" t="s">
        <v>77</v>
      </c>
      <c r="D1083" s="11">
        <v>761.92</v>
      </c>
      <c r="E1083" s="11">
        <v>40</v>
      </c>
      <c r="F1083" s="11">
        <v>30476.799999999999</v>
      </c>
      <c r="G1083" s="12">
        <v>45299</v>
      </c>
      <c r="H1083" s="12">
        <v>45080</v>
      </c>
      <c r="I1083" t="e">
        <f t="shared" si="16"/>
        <v>#NUM!</v>
      </c>
    </row>
    <row r="1084" spans="1:9" x14ac:dyDescent="0.3">
      <c r="A1084" s="11">
        <v>46576</v>
      </c>
      <c r="B1084" s="11" t="s">
        <v>9</v>
      </c>
      <c r="C1084" s="11" t="s">
        <v>52</v>
      </c>
      <c r="D1084" s="11">
        <v>323.73</v>
      </c>
      <c r="E1084" s="11">
        <v>41</v>
      </c>
      <c r="F1084" s="11">
        <v>13272.93</v>
      </c>
      <c r="G1084" s="12">
        <v>45529</v>
      </c>
      <c r="H1084" s="12">
        <v>45183</v>
      </c>
      <c r="I1084" t="e">
        <f t="shared" si="16"/>
        <v>#NUM!</v>
      </c>
    </row>
    <row r="1085" spans="1:9" x14ac:dyDescent="0.3">
      <c r="A1085" s="11">
        <v>14091</v>
      </c>
      <c r="B1085" s="11" t="s">
        <v>23</v>
      </c>
      <c r="C1085" s="11" t="s">
        <v>53</v>
      </c>
      <c r="D1085" s="11">
        <v>972.24</v>
      </c>
      <c r="E1085" s="11">
        <v>42</v>
      </c>
      <c r="F1085" s="11">
        <v>40834.080000000002</v>
      </c>
      <c r="G1085" s="12">
        <v>45359</v>
      </c>
      <c r="H1085" s="12">
        <v>45609</v>
      </c>
      <c r="I1085">
        <f t="shared" si="16"/>
        <v>1</v>
      </c>
    </row>
    <row r="1086" spans="1:9" x14ac:dyDescent="0.3">
      <c r="A1086" s="11">
        <v>33103</v>
      </c>
      <c r="B1086" s="11" t="s">
        <v>22</v>
      </c>
      <c r="C1086" s="11" t="s">
        <v>61</v>
      </c>
      <c r="D1086" s="11">
        <v>705.68</v>
      </c>
      <c r="E1086" s="11">
        <v>35</v>
      </c>
      <c r="F1086" s="11">
        <v>24698.799999999999</v>
      </c>
      <c r="G1086" s="12">
        <v>45009</v>
      </c>
      <c r="H1086" s="12">
        <v>45290</v>
      </c>
      <c r="I1086">
        <f t="shared" si="16"/>
        <v>1</v>
      </c>
    </row>
    <row r="1087" spans="1:9" x14ac:dyDescent="0.3">
      <c r="A1087" s="11">
        <v>12650</v>
      </c>
      <c r="B1087" s="11" t="s">
        <v>19</v>
      </c>
      <c r="C1087" s="11" t="s">
        <v>41</v>
      </c>
      <c r="D1087" s="11">
        <v>110.41</v>
      </c>
      <c r="E1087" s="11">
        <v>14</v>
      </c>
      <c r="F1087" s="11">
        <v>1545.74</v>
      </c>
      <c r="G1087" s="12">
        <v>45481</v>
      </c>
      <c r="H1087" s="12">
        <v>45255</v>
      </c>
      <c r="I1087" t="e">
        <f t="shared" si="16"/>
        <v>#NUM!</v>
      </c>
    </row>
    <row r="1088" spans="1:9" x14ac:dyDescent="0.3">
      <c r="A1088" s="11">
        <v>33363</v>
      </c>
      <c r="B1088" s="11" t="s">
        <v>25</v>
      </c>
      <c r="C1088" s="11" t="s">
        <v>55</v>
      </c>
      <c r="D1088" s="11">
        <v>399.32</v>
      </c>
      <c r="E1088" s="11">
        <v>33</v>
      </c>
      <c r="F1088" s="11">
        <v>13177.56</v>
      </c>
      <c r="G1088" s="12">
        <v>45527</v>
      </c>
      <c r="H1088" s="12">
        <v>45452</v>
      </c>
      <c r="I1088" t="e">
        <f t="shared" si="16"/>
        <v>#NUM!</v>
      </c>
    </row>
    <row r="1089" spans="1:9" x14ac:dyDescent="0.3">
      <c r="A1089" s="11">
        <v>89166</v>
      </c>
      <c r="B1089" s="11" t="s">
        <v>21</v>
      </c>
      <c r="C1089" s="11" t="s">
        <v>59</v>
      </c>
      <c r="D1089" s="11">
        <v>346.37</v>
      </c>
      <c r="E1089" s="11">
        <v>33</v>
      </c>
      <c r="F1089" s="11">
        <v>11430.21</v>
      </c>
      <c r="G1089" s="12">
        <v>44991</v>
      </c>
      <c r="H1089" s="12">
        <v>44950</v>
      </c>
      <c r="I1089" t="e">
        <f t="shared" si="16"/>
        <v>#NUM!</v>
      </c>
    </row>
    <row r="1090" spans="1:9" x14ac:dyDescent="0.3">
      <c r="A1090" s="11">
        <v>60532</v>
      </c>
      <c r="B1090" s="11" t="s">
        <v>22</v>
      </c>
      <c r="C1090" s="11" t="s">
        <v>57</v>
      </c>
      <c r="D1090" s="11">
        <v>404.9</v>
      </c>
      <c r="E1090" s="11">
        <v>18</v>
      </c>
      <c r="F1090" s="11">
        <v>7288.2</v>
      </c>
      <c r="G1090" s="12">
        <v>45484</v>
      </c>
      <c r="H1090" s="12">
        <v>45629</v>
      </c>
      <c r="I1090">
        <f t="shared" si="16"/>
        <v>1</v>
      </c>
    </row>
    <row r="1091" spans="1:9" x14ac:dyDescent="0.3">
      <c r="A1091" s="11">
        <v>53813</v>
      </c>
      <c r="B1091" s="11" t="s">
        <v>22</v>
      </c>
      <c r="C1091" s="11" t="s">
        <v>53</v>
      </c>
      <c r="D1091" s="11">
        <v>972.24</v>
      </c>
      <c r="E1091" s="11">
        <v>45</v>
      </c>
      <c r="F1091" s="11">
        <v>43750.8</v>
      </c>
      <c r="G1091" s="12">
        <v>45069</v>
      </c>
      <c r="H1091" s="12">
        <v>45633</v>
      </c>
      <c r="I1091">
        <f t="shared" ref="I1091:I1154" si="17">IF(DATEDIF(G1091,H1091,"d") &gt; 15,1,0)</f>
        <v>1</v>
      </c>
    </row>
    <row r="1092" spans="1:9" x14ac:dyDescent="0.3">
      <c r="A1092" s="11">
        <v>29165</v>
      </c>
      <c r="B1092" s="11" t="s">
        <v>26</v>
      </c>
      <c r="C1092" s="11" t="s">
        <v>58</v>
      </c>
      <c r="D1092" s="11">
        <v>988.73</v>
      </c>
      <c r="E1092" s="11">
        <v>18</v>
      </c>
      <c r="F1092" s="11">
        <v>17797.14</v>
      </c>
      <c r="G1092" s="12">
        <v>45609</v>
      </c>
      <c r="H1092" s="12">
        <v>45221</v>
      </c>
      <c r="I1092" t="e">
        <f t="shared" si="17"/>
        <v>#NUM!</v>
      </c>
    </row>
    <row r="1093" spans="1:9" x14ac:dyDescent="0.3">
      <c r="A1093" s="11">
        <v>67163</v>
      </c>
      <c r="B1093" s="11" t="s">
        <v>8</v>
      </c>
      <c r="C1093" s="11" t="s">
        <v>71</v>
      </c>
      <c r="D1093" s="11">
        <v>870.6</v>
      </c>
      <c r="E1093" s="11">
        <v>33</v>
      </c>
      <c r="F1093" s="11">
        <v>28729.8</v>
      </c>
      <c r="G1093" s="12">
        <v>45104</v>
      </c>
      <c r="H1093" s="12">
        <v>45152</v>
      </c>
      <c r="I1093">
        <f t="shared" si="17"/>
        <v>1</v>
      </c>
    </row>
    <row r="1094" spans="1:9" x14ac:dyDescent="0.3">
      <c r="A1094" s="11">
        <v>28097</v>
      </c>
      <c r="B1094" s="11" t="s">
        <v>27</v>
      </c>
      <c r="C1094" s="11" t="s">
        <v>65</v>
      </c>
      <c r="D1094" s="11">
        <v>753.12</v>
      </c>
      <c r="E1094" s="11">
        <v>40</v>
      </c>
      <c r="F1094" s="11">
        <v>30124.799999999999</v>
      </c>
      <c r="G1094" s="12">
        <v>45421</v>
      </c>
      <c r="H1094" s="12">
        <v>45310</v>
      </c>
      <c r="I1094" t="e">
        <f t="shared" si="17"/>
        <v>#NUM!</v>
      </c>
    </row>
    <row r="1095" spans="1:9" x14ac:dyDescent="0.3">
      <c r="A1095" s="11">
        <v>87073</v>
      </c>
      <c r="B1095" s="11" t="s">
        <v>14</v>
      </c>
      <c r="C1095" s="11" t="s">
        <v>37</v>
      </c>
      <c r="D1095" s="11">
        <v>796.94</v>
      </c>
      <c r="E1095" s="11">
        <v>6</v>
      </c>
      <c r="F1095" s="11">
        <v>4781.6400000000003</v>
      </c>
      <c r="G1095" s="12">
        <v>45157</v>
      </c>
      <c r="H1095" s="12">
        <v>45418</v>
      </c>
      <c r="I1095">
        <f t="shared" si="17"/>
        <v>1</v>
      </c>
    </row>
    <row r="1096" spans="1:9" x14ac:dyDescent="0.3">
      <c r="A1096" s="11">
        <v>56949</v>
      </c>
      <c r="B1096" s="11" t="s">
        <v>24</v>
      </c>
      <c r="C1096" s="11" t="s">
        <v>59</v>
      </c>
      <c r="D1096" s="11">
        <v>346.37</v>
      </c>
      <c r="E1096" s="11">
        <v>5</v>
      </c>
      <c r="F1096" s="11">
        <v>1731.85</v>
      </c>
      <c r="G1096" s="12">
        <v>45211</v>
      </c>
      <c r="H1096" s="12">
        <v>45496</v>
      </c>
      <c r="I1096">
        <f t="shared" si="17"/>
        <v>1</v>
      </c>
    </row>
    <row r="1097" spans="1:9" x14ac:dyDescent="0.3">
      <c r="A1097" s="11">
        <v>86700</v>
      </c>
      <c r="B1097" s="11" t="s">
        <v>24</v>
      </c>
      <c r="C1097" s="11" t="s">
        <v>68</v>
      </c>
      <c r="D1097" s="11">
        <v>795.19</v>
      </c>
      <c r="E1097" s="11">
        <v>40</v>
      </c>
      <c r="F1097" s="11">
        <v>31807.599999999999</v>
      </c>
      <c r="G1097" s="12">
        <v>45479</v>
      </c>
      <c r="H1097" s="12">
        <v>45265</v>
      </c>
      <c r="I1097" t="e">
        <f t="shared" si="17"/>
        <v>#NUM!</v>
      </c>
    </row>
    <row r="1098" spans="1:9" x14ac:dyDescent="0.3">
      <c r="A1098" s="11">
        <v>88891</v>
      </c>
      <c r="B1098" s="11" t="s">
        <v>10</v>
      </c>
      <c r="C1098" s="11" t="s">
        <v>66</v>
      </c>
      <c r="D1098" s="11">
        <v>45.72</v>
      </c>
      <c r="E1098" s="11">
        <v>23</v>
      </c>
      <c r="F1098" s="11">
        <v>1051.56</v>
      </c>
      <c r="G1098" s="12">
        <v>45089</v>
      </c>
      <c r="H1098" s="12">
        <v>45354</v>
      </c>
      <c r="I1098">
        <f t="shared" si="17"/>
        <v>1</v>
      </c>
    </row>
    <row r="1099" spans="1:9" x14ac:dyDescent="0.3">
      <c r="A1099" s="11">
        <v>53363</v>
      </c>
      <c r="B1099" s="11" t="s">
        <v>21</v>
      </c>
      <c r="C1099" s="11" t="s">
        <v>54</v>
      </c>
      <c r="D1099" s="11">
        <v>730.09</v>
      </c>
      <c r="E1099" s="11">
        <v>31</v>
      </c>
      <c r="F1099" s="11">
        <v>22632.79</v>
      </c>
      <c r="G1099" s="12">
        <v>45003</v>
      </c>
      <c r="H1099" s="12">
        <v>45530</v>
      </c>
      <c r="I1099">
        <f t="shared" si="17"/>
        <v>1</v>
      </c>
    </row>
    <row r="1100" spans="1:9" x14ac:dyDescent="0.3">
      <c r="A1100" s="11">
        <v>16018</v>
      </c>
      <c r="B1100" s="11" t="s">
        <v>8</v>
      </c>
      <c r="C1100" s="11" t="s">
        <v>56</v>
      </c>
      <c r="D1100" s="11">
        <v>641.34</v>
      </c>
      <c r="E1100" s="11">
        <v>39</v>
      </c>
      <c r="F1100" s="11">
        <v>25012.26</v>
      </c>
      <c r="G1100" s="12">
        <v>45582</v>
      </c>
      <c r="H1100" s="12">
        <v>45372</v>
      </c>
      <c r="I1100" t="e">
        <f t="shared" si="17"/>
        <v>#NUM!</v>
      </c>
    </row>
    <row r="1101" spans="1:9" x14ac:dyDescent="0.3">
      <c r="A1101" s="11">
        <v>61483</v>
      </c>
      <c r="B1101" s="11" t="s">
        <v>17</v>
      </c>
      <c r="C1101" s="11" t="s">
        <v>49</v>
      </c>
      <c r="D1101" s="11">
        <v>534.77</v>
      </c>
      <c r="E1101" s="11">
        <v>34</v>
      </c>
      <c r="F1101" s="11">
        <v>18182.18</v>
      </c>
      <c r="G1101" s="12">
        <v>45479</v>
      </c>
      <c r="H1101" s="12">
        <v>45014</v>
      </c>
      <c r="I1101" t="e">
        <f t="shared" si="17"/>
        <v>#NUM!</v>
      </c>
    </row>
    <row r="1102" spans="1:9" x14ac:dyDescent="0.3">
      <c r="A1102" s="11">
        <v>64918</v>
      </c>
      <c r="B1102" s="11" t="s">
        <v>14</v>
      </c>
      <c r="C1102" s="11" t="s">
        <v>42</v>
      </c>
      <c r="D1102" s="11">
        <v>112.52</v>
      </c>
      <c r="E1102" s="11">
        <v>16</v>
      </c>
      <c r="F1102" s="11">
        <v>1800.32</v>
      </c>
      <c r="G1102" s="12">
        <v>45091</v>
      </c>
      <c r="H1102" s="12">
        <v>44995</v>
      </c>
      <c r="I1102" t="e">
        <f t="shared" si="17"/>
        <v>#NUM!</v>
      </c>
    </row>
    <row r="1103" spans="1:9" x14ac:dyDescent="0.3">
      <c r="A1103" s="11">
        <v>47483</v>
      </c>
      <c r="B1103" s="11" t="s">
        <v>23</v>
      </c>
      <c r="C1103" s="11" t="s">
        <v>36</v>
      </c>
      <c r="D1103" s="11">
        <v>596.97</v>
      </c>
      <c r="E1103" s="11">
        <v>8</v>
      </c>
      <c r="F1103" s="11">
        <v>4775.76</v>
      </c>
      <c r="G1103" s="12">
        <v>45066</v>
      </c>
      <c r="H1103" s="12">
        <v>45305</v>
      </c>
      <c r="I1103">
        <f t="shared" si="17"/>
        <v>1</v>
      </c>
    </row>
    <row r="1104" spans="1:9" x14ac:dyDescent="0.3">
      <c r="A1104" s="11">
        <v>38096</v>
      </c>
      <c r="B1104" s="11" t="s">
        <v>22</v>
      </c>
      <c r="C1104" s="11" t="s">
        <v>47</v>
      </c>
      <c r="D1104" s="11">
        <v>682.74</v>
      </c>
      <c r="E1104" s="11">
        <v>42</v>
      </c>
      <c r="F1104" s="11">
        <v>28675.08</v>
      </c>
      <c r="G1104" s="12">
        <v>45554</v>
      </c>
      <c r="H1104" s="12">
        <v>45061</v>
      </c>
      <c r="I1104" t="e">
        <f t="shared" si="17"/>
        <v>#NUM!</v>
      </c>
    </row>
    <row r="1105" spans="1:9" x14ac:dyDescent="0.3">
      <c r="A1105" s="11">
        <v>78404</v>
      </c>
      <c r="B1105" s="11" t="s">
        <v>27</v>
      </c>
      <c r="C1105" s="11" t="s">
        <v>51</v>
      </c>
      <c r="D1105" s="11">
        <v>533.15</v>
      </c>
      <c r="E1105" s="11">
        <v>6</v>
      </c>
      <c r="F1105" s="11">
        <v>3198.9</v>
      </c>
      <c r="G1105" s="12">
        <v>44960</v>
      </c>
      <c r="H1105" s="12">
        <v>45137</v>
      </c>
      <c r="I1105">
        <f t="shared" si="17"/>
        <v>1</v>
      </c>
    </row>
    <row r="1106" spans="1:9" x14ac:dyDescent="0.3">
      <c r="A1106" s="11">
        <v>83081</v>
      </c>
      <c r="B1106" s="11" t="s">
        <v>27</v>
      </c>
      <c r="C1106" s="11" t="s">
        <v>42</v>
      </c>
      <c r="D1106" s="11">
        <v>112.52</v>
      </c>
      <c r="E1106" s="11">
        <v>20</v>
      </c>
      <c r="F1106" s="11">
        <v>2250.4</v>
      </c>
      <c r="G1106" s="12">
        <v>45507</v>
      </c>
      <c r="H1106" s="12">
        <v>45551</v>
      </c>
      <c r="I1106">
        <f t="shared" si="17"/>
        <v>1</v>
      </c>
    </row>
    <row r="1107" spans="1:9" x14ac:dyDescent="0.3">
      <c r="A1107" s="11">
        <v>82858</v>
      </c>
      <c r="B1107" s="11" t="s">
        <v>14</v>
      </c>
      <c r="C1107" s="11" t="s">
        <v>43</v>
      </c>
      <c r="D1107" s="11">
        <v>608.37</v>
      </c>
      <c r="E1107" s="11">
        <v>27</v>
      </c>
      <c r="F1107" s="11">
        <v>16425.990000000002</v>
      </c>
      <c r="G1107" s="12">
        <v>45429</v>
      </c>
      <c r="H1107" s="12">
        <v>45304</v>
      </c>
      <c r="I1107" t="e">
        <f t="shared" si="17"/>
        <v>#NUM!</v>
      </c>
    </row>
    <row r="1108" spans="1:9" x14ac:dyDescent="0.3">
      <c r="A1108" s="11">
        <v>74054</v>
      </c>
      <c r="B1108" s="11" t="s">
        <v>22</v>
      </c>
      <c r="C1108" s="11" t="s">
        <v>54</v>
      </c>
      <c r="D1108" s="11">
        <v>730.09</v>
      </c>
      <c r="E1108" s="11">
        <v>19</v>
      </c>
      <c r="F1108" s="11">
        <v>13871.71</v>
      </c>
      <c r="G1108" s="12">
        <v>45570</v>
      </c>
      <c r="H1108" s="12">
        <v>45478</v>
      </c>
      <c r="I1108" t="e">
        <f t="shared" si="17"/>
        <v>#NUM!</v>
      </c>
    </row>
    <row r="1109" spans="1:9" x14ac:dyDescent="0.3">
      <c r="A1109" s="11">
        <v>61825</v>
      </c>
      <c r="B1109" s="11" t="s">
        <v>21</v>
      </c>
      <c r="C1109" s="11" t="s">
        <v>54</v>
      </c>
      <c r="D1109" s="11">
        <v>730.09</v>
      </c>
      <c r="E1109" s="11">
        <v>10</v>
      </c>
      <c r="F1109" s="11">
        <v>7300.9</v>
      </c>
      <c r="G1109" s="12">
        <v>45549</v>
      </c>
      <c r="H1109" s="12">
        <v>45384</v>
      </c>
      <c r="I1109" t="e">
        <f t="shared" si="17"/>
        <v>#NUM!</v>
      </c>
    </row>
    <row r="1110" spans="1:9" x14ac:dyDescent="0.3">
      <c r="A1110" s="11">
        <v>99026</v>
      </c>
      <c r="B1110" s="11" t="s">
        <v>26</v>
      </c>
      <c r="C1110" s="11" t="s">
        <v>40</v>
      </c>
      <c r="D1110" s="11">
        <v>875.47</v>
      </c>
      <c r="E1110" s="11">
        <v>42</v>
      </c>
      <c r="F1110" s="11">
        <v>36769.74</v>
      </c>
      <c r="G1110" s="12">
        <v>44947</v>
      </c>
      <c r="H1110" s="12">
        <v>45468</v>
      </c>
      <c r="I1110">
        <f t="shared" si="17"/>
        <v>1</v>
      </c>
    </row>
    <row r="1111" spans="1:9" x14ac:dyDescent="0.3">
      <c r="A1111" s="11">
        <v>81562</v>
      </c>
      <c r="B1111" s="11" t="s">
        <v>27</v>
      </c>
      <c r="C1111" s="11" t="s">
        <v>40</v>
      </c>
      <c r="D1111" s="11">
        <v>875.47</v>
      </c>
      <c r="E1111" s="11">
        <v>45</v>
      </c>
      <c r="F1111" s="11">
        <v>39396.15</v>
      </c>
      <c r="G1111" s="12">
        <v>45484</v>
      </c>
      <c r="H1111" s="12">
        <v>45332</v>
      </c>
      <c r="I1111" t="e">
        <f t="shared" si="17"/>
        <v>#NUM!</v>
      </c>
    </row>
    <row r="1112" spans="1:9" x14ac:dyDescent="0.3">
      <c r="A1112" s="11">
        <v>17781</v>
      </c>
      <c r="B1112" s="11" t="s">
        <v>21</v>
      </c>
      <c r="C1112" s="11" t="s">
        <v>40</v>
      </c>
      <c r="D1112" s="11">
        <v>875.47</v>
      </c>
      <c r="E1112" s="11">
        <v>30</v>
      </c>
      <c r="F1112" s="11">
        <v>26264.1</v>
      </c>
      <c r="G1112" s="12">
        <v>45148</v>
      </c>
      <c r="H1112" s="12">
        <v>45183</v>
      </c>
      <c r="I1112">
        <f t="shared" si="17"/>
        <v>1</v>
      </c>
    </row>
    <row r="1113" spans="1:9" x14ac:dyDescent="0.3">
      <c r="A1113" s="11">
        <v>40551</v>
      </c>
      <c r="B1113" s="11" t="s">
        <v>19</v>
      </c>
      <c r="C1113" s="11" t="s">
        <v>43</v>
      </c>
      <c r="D1113" s="11">
        <v>608.37</v>
      </c>
      <c r="E1113" s="11">
        <v>45</v>
      </c>
      <c r="F1113" s="11">
        <v>27376.65</v>
      </c>
      <c r="G1113" s="12">
        <v>45382</v>
      </c>
      <c r="H1113" s="12">
        <v>45393</v>
      </c>
      <c r="I1113">
        <f t="shared" si="17"/>
        <v>0</v>
      </c>
    </row>
    <row r="1114" spans="1:9" x14ac:dyDescent="0.3">
      <c r="A1114" s="11">
        <v>94376</v>
      </c>
      <c r="B1114" s="11" t="s">
        <v>26</v>
      </c>
      <c r="C1114" s="11" t="s">
        <v>53</v>
      </c>
      <c r="D1114" s="11">
        <v>972.24</v>
      </c>
      <c r="E1114" s="11">
        <v>5</v>
      </c>
      <c r="F1114" s="11">
        <v>4861.2</v>
      </c>
      <c r="G1114" s="12">
        <v>45668</v>
      </c>
      <c r="H1114" s="12">
        <v>45420</v>
      </c>
      <c r="I1114" t="e">
        <f t="shared" si="17"/>
        <v>#NUM!</v>
      </c>
    </row>
    <row r="1115" spans="1:9" x14ac:dyDescent="0.3">
      <c r="A1115" s="11">
        <v>44873</v>
      </c>
      <c r="B1115" s="11" t="s">
        <v>10</v>
      </c>
      <c r="C1115" s="11" t="s">
        <v>55</v>
      </c>
      <c r="D1115" s="11">
        <v>399.32</v>
      </c>
      <c r="E1115" s="11">
        <v>17</v>
      </c>
      <c r="F1115" s="11">
        <v>6788.44</v>
      </c>
      <c r="G1115" s="12">
        <v>45171</v>
      </c>
      <c r="H1115" s="12">
        <v>45250</v>
      </c>
      <c r="I1115">
        <f t="shared" si="17"/>
        <v>1</v>
      </c>
    </row>
    <row r="1116" spans="1:9" x14ac:dyDescent="0.3">
      <c r="A1116" s="11">
        <v>67390</v>
      </c>
      <c r="B1116" s="11" t="s">
        <v>26</v>
      </c>
      <c r="C1116" s="11" t="s">
        <v>71</v>
      </c>
      <c r="D1116" s="11">
        <v>870.6</v>
      </c>
      <c r="E1116" s="11">
        <v>29</v>
      </c>
      <c r="F1116" s="11">
        <v>25247.4</v>
      </c>
      <c r="G1116" s="12">
        <v>45646</v>
      </c>
      <c r="H1116" s="12">
        <v>45390</v>
      </c>
      <c r="I1116" t="e">
        <f t="shared" si="17"/>
        <v>#NUM!</v>
      </c>
    </row>
    <row r="1117" spans="1:9" x14ac:dyDescent="0.3">
      <c r="A1117" s="11">
        <v>79280</v>
      </c>
      <c r="B1117" s="11" t="s">
        <v>14</v>
      </c>
      <c r="C1117" s="11" t="s">
        <v>64</v>
      </c>
      <c r="D1117" s="11">
        <v>796.51</v>
      </c>
      <c r="E1117" s="11">
        <v>45</v>
      </c>
      <c r="F1117" s="11">
        <v>35842.949999999997</v>
      </c>
      <c r="G1117" s="12">
        <v>45099</v>
      </c>
      <c r="H1117" s="12">
        <v>45532</v>
      </c>
      <c r="I1117">
        <f t="shared" si="17"/>
        <v>1</v>
      </c>
    </row>
    <row r="1118" spans="1:9" x14ac:dyDescent="0.3">
      <c r="A1118" s="11">
        <v>88177</v>
      </c>
      <c r="B1118" s="11" t="s">
        <v>24</v>
      </c>
      <c r="C1118" s="11" t="s">
        <v>63</v>
      </c>
      <c r="D1118" s="11">
        <v>611.66</v>
      </c>
      <c r="E1118" s="11">
        <v>6</v>
      </c>
      <c r="F1118" s="11">
        <v>3669.96</v>
      </c>
      <c r="G1118" s="12">
        <v>45165</v>
      </c>
      <c r="H1118" s="12">
        <v>45211</v>
      </c>
      <c r="I1118">
        <f t="shared" si="17"/>
        <v>1</v>
      </c>
    </row>
    <row r="1119" spans="1:9" x14ac:dyDescent="0.3">
      <c r="A1119" s="11">
        <v>23836</v>
      </c>
      <c r="B1119" s="11" t="s">
        <v>18</v>
      </c>
      <c r="C1119" s="11" t="s">
        <v>37</v>
      </c>
      <c r="D1119" s="11">
        <v>796.94</v>
      </c>
      <c r="E1119" s="11">
        <v>16</v>
      </c>
      <c r="F1119" s="11">
        <v>12751.04</v>
      </c>
      <c r="G1119" s="12">
        <v>45304</v>
      </c>
      <c r="H1119" s="12">
        <v>45012</v>
      </c>
      <c r="I1119" t="e">
        <f t="shared" si="17"/>
        <v>#NUM!</v>
      </c>
    </row>
    <row r="1120" spans="1:9" x14ac:dyDescent="0.3">
      <c r="A1120" s="11">
        <v>72090</v>
      </c>
      <c r="B1120" s="11" t="s">
        <v>17</v>
      </c>
      <c r="C1120" s="11" t="s">
        <v>53</v>
      </c>
      <c r="D1120" s="11">
        <v>972.24</v>
      </c>
      <c r="E1120" s="11">
        <v>48</v>
      </c>
      <c r="F1120" s="11">
        <v>46667.519999999997</v>
      </c>
      <c r="G1120" s="12">
        <v>45280</v>
      </c>
      <c r="H1120" s="12">
        <v>45373</v>
      </c>
      <c r="I1120">
        <f t="shared" si="17"/>
        <v>1</v>
      </c>
    </row>
    <row r="1121" spans="1:9" x14ac:dyDescent="0.3">
      <c r="A1121" s="11">
        <v>43820</v>
      </c>
      <c r="B1121" s="11" t="s">
        <v>9</v>
      </c>
      <c r="C1121" s="11" t="s">
        <v>28</v>
      </c>
      <c r="D1121" s="11">
        <v>855.99</v>
      </c>
      <c r="E1121" s="11">
        <v>19</v>
      </c>
      <c r="F1121" s="11">
        <v>16263.81</v>
      </c>
      <c r="G1121" s="12">
        <v>45287</v>
      </c>
      <c r="H1121" s="12">
        <v>45468</v>
      </c>
      <c r="I1121">
        <f t="shared" si="17"/>
        <v>1</v>
      </c>
    </row>
    <row r="1122" spans="1:9" x14ac:dyDescent="0.3">
      <c r="A1122" s="11">
        <v>41210</v>
      </c>
      <c r="B1122" s="11" t="s">
        <v>23</v>
      </c>
      <c r="C1122" s="11" t="s">
        <v>66</v>
      </c>
      <c r="D1122" s="11">
        <v>45.72</v>
      </c>
      <c r="E1122" s="11">
        <v>9</v>
      </c>
      <c r="F1122" s="11">
        <v>411.48</v>
      </c>
      <c r="G1122" s="12">
        <v>45079</v>
      </c>
      <c r="H1122" s="12">
        <v>45377</v>
      </c>
      <c r="I1122">
        <f t="shared" si="17"/>
        <v>1</v>
      </c>
    </row>
    <row r="1123" spans="1:9" x14ac:dyDescent="0.3">
      <c r="A1123" s="11">
        <v>22997</v>
      </c>
      <c r="B1123" s="11" t="s">
        <v>24</v>
      </c>
      <c r="C1123" s="11" t="s">
        <v>56</v>
      </c>
      <c r="D1123" s="11">
        <v>641.34</v>
      </c>
      <c r="E1123" s="11">
        <v>27</v>
      </c>
      <c r="F1123" s="11">
        <v>17316.18</v>
      </c>
      <c r="G1123" s="12">
        <v>45212</v>
      </c>
      <c r="H1123" s="12">
        <v>45479</v>
      </c>
      <c r="I1123">
        <f t="shared" si="17"/>
        <v>1</v>
      </c>
    </row>
    <row r="1124" spans="1:9" x14ac:dyDescent="0.3">
      <c r="A1124" s="11">
        <v>75703</v>
      </c>
      <c r="B1124" s="11" t="s">
        <v>18</v>
      </c>
      <c r="C1124" s="11" t="s">
        <v>30</v>
      </c>
      <c r="D1124" s="11">
        <v>68.05</v>
      </c>
      <c r="E1124" s="11">
        <v>4</v>
      </c>
      <c r="F1124" s="11">
        <v>272.2</v>
      </c>
      <c r="G1124" s="12">
        <v>44962</v>
      </c>
      <c r="H1124" s="12">
        <v>44976</v>
      </c>
      <c r="I1124">
        <f t="shared" si="17"/>
        <v>0</v>
      </c>
    </row>
    <row r="1125" spans="1:9" x14ac:dyDescent="0.3">
      <c r="A1125" s="11">
        <v>88853</v>
      </c>
      <c r="B1125" s="11" t="s">
        <v>14</v>
      </c>
      <c r="C1125" s="11" t="s">
        <v>60</v>
      </c>
      <c r="D1125" s="11">
        <v>184.57</v>
      </c>
      <c r="E1125" s="11">
        <v>25</v>
      </c>
      <c r="F1125" s="11">
        <v>4614.25</v>
      </c>
      <c r="G1125" s="12">
        <v>45071</v>
      </c>
      <c r="H1125" s="12">
        <v>45517</v>
      </c>
      <c r="I1125">
        <f t="shared" si="17"/>
        <v>1</v>
      </c>
    </row>
    <row r="1126" spans="1:9" x14ac:dyDescent="0.3">
      <c r="A1126" s="11">
        <v>18453</v>
      </c>
      <c r="B1126" s="11" t="s">
        <v>20</v>
      </c>
      <c r="C1126" s="11" t="s">
        <v>44</v>
      </c>
      <c r="D1126" s="11">
        <v>654.4</v>
      </c>
      <c r="E1126" s="11">
        <v>37</v>
      </c>
      <c r="F1126" s="11">
        <v>24212.799999999999</v>
      </c>
      <c r="G1126" s="12">
        <v>45107</v>
      </c>
      <c r="H1126" s="12">
        <v>45118</v>
      </c>
      <c r="I1126">
        <f t="shared" si="17"/>
        <v>0</v>
      </c>
    </row>
    <row r="1127" spans="1:9" x14ac:dyDescent="0.3">
      <c r="A1127" s="11">
        <v>23168</v>
      </c>
      <c r="B1127" s="11" t="s">
        <v>19</v>
      </c>
      <c r="C1127" s="11" t="s">
        <v>49</v>
      </c>
      <c r="D1127" s="11">
        <v>534.77</v>
      </c>
      <c r="E1127" s="11">
        <v>2</v>
      </c>
      <c r="F1127" s="11">
        <v>1069.54</v>
      </c>
      <c r="G1127" s="12">
        <v>45640</v>
      </c>
      <c r="H1127" s="12">
        <v>45125</v>
      </c>
      <c r="I1127" t="e">
        <f t="shared" si="17"/>
        <v>#NUM!</v>
      </c>
    </row>
    <row r="1128" spans="1:9" x14ac:dyDescent="0.3">
      <c r="A1128" s="11">
        <v>35409</v>
      </c>
      <c r="B1128" s="11" t="s">
        <v>24</v>
      </c>
      <c r="C1128" s="11" t="s">
        <v>38</v>
      </c>
      <c r="D1128" s="11">
        <v>233.83</v>
      </c>
      <c r="E1128" s="11">
        <v>37</v>
      </c>
      <c r="F1128" s="11">
        <v>8651.7099999999991</v>
      </c>
      <c r="G1128" s="12">
        <v>45364</v>
      </c>
      <c r="H1128" s="12">
        <v>45290</v>
      </c>
      <c r="I1128" t="e">
        <f t="shared" si="17"/>
        <v>#NUM!</v>
      </c>
    </row>
    <row r="1129" spans="1:9" x14ac:dyDescent="0.3">
      <c r="A1129" s="11">
        <v>86808</v>
      </c>
      <c r="B1129" s="11" t="s">
        <v>21</v>
      </c>
      <c r="C1129" s="11" t="s">
        <v>62</v>
      </c>
      <c r="D1129" s="11">
        <v>474.55</v>
      </c>
      <c r="E1129" s="11">
        <v>2</v>
      </c>
      <c r="F1129" s="11">
        <v>949.1</v>
      </c>
      <c r="G1129" s="12">
        <v>45163</v>
      </c>
      <c r="H1129" s="12">
        <v>45145</v>
      </c>
      <c r="I1129" t="e">
        <f t="shared" si="17"/>
        <v>#NUM!</v>
      </c>
    </row>
    <row r="1130" spans="1:9" x14ac:dyDescent="0.3">
      <c r="A1130" s="11">
        <v>19309</v>
      </c>
      <c r="B1130" s="11" t="s">
        <v>25</v>
      </c>
      <c r="C1130" s="11" t="s">
        <v>46</v>
      </c>
      <c r="D1130" s="11">
        <v>617.33000000000004</v>
      </c>
      <c r="E1130" s="11">
        <v>29</v>
      </c>
      <c r="F1130" s="11">
        <v>17902.57</v>
      </c>
      <c r="G1130" s="12">
        <v>45060</v>
      </c>
      <c r="H1130" s="12">
        <v>45443</v>
      </c>
      <c r="I1130">
        <f t="shared" si="17"/>
        <v>1</v>
      </c>
    </row>
    <row r="1131" spans="1:9" x14ac:dyDescent="0.3">
      <c r="A1131" s="11">
        <v>65205</v>
      </c>
      <c r="B1131" s="11" t="s">
        <v>8</v>
      </c>
      <c r="C1131" s="11" t="s">
        <v>60</v>
      </c>
      <c r="D1131" s="11">
        <v>184.57</v>
      </c>
      <c r="E1131" s="11">
        <v>2</v>
      </c>
      <c r="F1131" s="11">
        <v>369.14</v>
      </c>
      <c r="G1131" s="12">
        <v>45218</v>
      </c>
      <c r="H1131" s="12">
        <v>45074</v>
      </c>
      <c r="I1131" t="e">
        <f t="shared" si="17"/>
        <v>#NUM!</v>
      </c>
    </row>
    <row r="1132" spans="1:9" x14ac:dyDescent="0.3">
      <c r="A1132" s="11">
        <v>91356</v>
      </c>
      <c r="B1132" s="11" t="s">
        <v>13</v>
      </c>
      <c r="C1132" s="11" t="s">
        <v>72</v>
      </c>
      <c r="D1132" s="11">
        <v>913.18</v>
      </c>
      <c r="E1132" s="11">
        <v>10</v>
      </c>
      <c r="F1132" s="11">
        <v>9131.7999999999993</v>
      </c>
      <c r="G1132" s="12">
        <v>45522</v>
      </c>
      <c r="H1132" s="12">
        <v>44971</v>
      </c>
      <c r="I1132" t="e">
        <f t="shared" si="17"/>
        <v>#NUM!</v>
      </c>
    </row>
    <row r="1133" spans="1:9" x14ac:dyDescent="0.3">
      <c r="A1133" s="11">
        <v>59537</v>
      </c>
      <c r="B1133" s="11" t="s">
        <v>27</v>
      </c>
      <c r="C1133" s="11" t="s">
        <v>69</v>
      </c>
      <c r="D1133" s="11">
        <v>158.66999999999999</v>
      </c>
      <c r="E1133" s="11">
        <v>43</v>
      </c>
      <c r="F1133" s="11">
        <v>6822.81</v>
      </c>
      <c r="G1133" s="12">
        <v>45221</v>
      </c>
      <c r="H1133" s="12">
        <v>45360</v>
      </c>
      <c r="I1133">
        <f t="shared" si="17"/>
        <v>1</v>
      </c>
    </row>
    <row r="1134" spans="1:9" x14ac:dyDescent="0.3">
      <c r="A1134" s="11">
        <v>18749</v>
      </c>
      <c r="B1134" s="11" t="s">
        <v>26</v>
      </c>
      <c r="C1134" s="11" t="s">
        <v>34</v>
      </c>
      <c r="D1134" s="11">
        <v>222.47</v>
      </c>
      <c r="E1134" s="11">
        <v>12</v>
      </c>
      <c r="F1134" s="11">
        <v>2669.64</v>
      </c>
      <c r="G1134" s="12">
        <v>45429</v>
      </c>
      <c r="H1134" s="12">
        <v>45592</v>
      </c>
      <c r="I1134">
        <f t="shared" si="17"/>
        <v>1</v>
      </c>
    </row>
    <row r="1135" spans="1:9" x14ac:dyDescent="0.3">
      <c r="A1135" s="11">
        <v>78165</v>
      </c>
      <c r="B1135" s="11" t="s">
        <v>26</v>
      </c>
      <c r="C1135" s="11" t="s">
        <v>52</v>
      </c>
      <c r="D1135" s="11">
        <v>323.73</v>
      </c>
      <c r="E1135" s="11">
        <v>26</v>
      </c>
      <c r="F1135" s="11">
        <v>8416.98</v>
      </c>
      <c r="G1135" s="12">
        <v>45023</v>
      </c>
      <c r="H1135" s="12">
        <v>45195</v>
      </c>
      <c r="I1135">
        <f t="shared" si="17"/>
        <v>1</v>
      </c>
    </row>
    <row r="1136" spans="1:9" x14ac:dyDescent="0.3">
      <c r="A1136" s="11">
        <v>22529</v>
      </c>
      <c r="B1136" s="11" t="s">
        <v>21</v>
      </c>
      <c r="C1136" s="11" t="s">
        <v>40</v>
      </c>
      <c r="D1136" s="11">
        <v>875.47</v>
      </c>
      <c r="E1136" s="11">
        <v>16</v>
      </c>
      <c r="F1136" s="11">
        <v>14007.52</v>
      </c>
      <c r="G1136" s="12">
        <v>45523</v>
      </c>
      <c r="H1136" s="12">
        <v>45286</v>
      </c>
      <c r="I1136" t="e">
        <f t="shared" si="17"/>
        <v>#NUM!</v>
      </c>
    </row>
    <row r="1137" spans="1:9" x14ac:dyDescent="0.3">
      <c r="A1137" s="11">
        <v>37093</v>
      </c>
      <c r="B1137" s="11" t="s">
        <v>9</v>
      </c>
      <c r="C1137" s="11" t="s">
        <v>37</v>
      </c>
      <c r="D1137" s="11">
        <v>796.94</v>
      </c>
      <c r="E1137" s="11">
        <v>22</v>
      </c>
      <c r="F1137" s="11">
        <v>17532.68</v>
      </c>
      <c r="G1137" s="12">
        <v>45601</v>
      </c>
      <c r="H1137" s="12">
        <v>45449</v>
      </c>
      <c r="I1137" t="e">
        <f t="shared" si="17"/>
        <v>#NUM!</v>
      </c>
    </row>
    <row r="1138" spans="1:9" x14ac:dyDescent="0.3">
      <c r="A1138" s="11">
        <v>91867</v>
      </c>
      <c r="B1138" s="11" t="s">
        <v>19</v>
      </c>
      <c r="C1138" s="11" t="s">
        <v>52</v>
      </c>
      <c r="D1138" s="11">
        <v>323.73</v>
      </c>
      <c r="E1138" s="11">
        <v>3</v>
      </c>
      <c r="F1138" s="11">
        <v>971.19</v>
      </c>
      <c r="G1138" s="12">
        <v>45364</v>
      </c>
      <c r="H1138" s="12">
        <v>45314</v>
      </c>
      <c r="I1138" t="e">
        <f t="shared" si="17"/>
        <v>#NUM!</v>
      </c>
    </row>
    <row r="1139" spans="1:9" x14ac:dyDescent="0.3">
      <c r="A1139" s="11">
        <v>17180</v>
      </c>
      <c r="B1139" s="11" t="s">
        <v>15</v>
      </c>
      <c r="C1139" s="11" t="s">
        <v>29</v>
      </c>
      <c r="D1139" s="11">
        <v>683.98</v>
      </c>
      <c r="E1139" s="11">
        <v>4</v>
      </c>
      <c r="F1139" s="11">
        <v>2735.92</v>
      </c>
      <c r="G1139" s="12">
        <v>44992</v>
      </c>
      <c r="H1139" s="12">
        <v>45192</v>
      </c>
      <c r="I1139">
        <f t="shared" si="17"/>
        <v>1</v>
      </c>
    </row>
    <row r="1140" spans="1:9" x14ac:dyDescent="0.3">
      <c r="A1140" s="11">
        <v>39916</v>
      </c>
      <c r="B1140" s="11" t="s">
        <v>27</v>
      </c>
      <c r="C1140" s="11" t="s">
        <v>63</v>
      </c>
      <c r="D1140" s="11">
        <v>611.66</v>
      </c>
      <c r="E1140" s="11">
        <v>49</v>
      </c>
      <c r="F1140" s="11">
        <v>29971.34</v>
      </c>
      <c r="G1140" s="12">
        <v>45241</v>
      </c>
      <c r="H1140" s="12">
        <v>45347</v>
      </c>
      <c r="I1140">
        <f t="shared" si="17"/>
        <v>1</v>
      </c>
    </row>
    <row r="1141" spans="1:9" x14ac:dyDescent="0.3">
      <c r="A1141" s="11">
        <v>95684</v>
      </c>
      <c r="B1141" s="11" t="s">
        <v>25</v>
      </c>
      <c r="C1141" s="11" t="s">
        <v>28</v>
      </c>
      <c r="D1141" s="11">
        <v>855.99</v>
      </c>
      <c r="E1141" s="11">
        <v>27</v>
      </c>
      <c r="F1141" s="11">
        <v>23111.73</v>
      </c>
      <c r="G1141" s="12">
        <v>45504</v>
      </c>
      <c r="H1141" s="12">
        <v>45483</v>
      </c>
      <c r="I1141" t="e">
        <f t="shared" si="17"/>
        <v>#NUM!</v>
      </c>
    </row>
    <row r="1142" spans="1:9" x14ac:dyDescent="0.3">
      <c r="A1142" s="11">
        <v>21867</v>
      </c>
      <c r="B1142" s="11" t="s">
        <v>20</v>
      </c>
      <c r="C1142" s="11" t="s">
        <v>43</v>
      </c>
      <c r="D1142" s="11">
        <v>608.37</v>
      </c>
      <c r="E1142" s="11">
        <v>38</v>
      </c>
      <c r="F1142" s="11">
        <v>23118.06</v>
      </c>
      <c r="G1142" s="12">
        <v>45108</v>
      </c>
      <c r="H1142" s="12">
        <v>45576</v>
      </c>
      <c r="I1142">
        <f t="shared" si="17"/>
        <v>1</v>
      </c>
    </row>
    <row r="1143" spans="1:9" x14ac:dyDescent="0.3">
      <c r="A1143" s="11">
        <v>20190</v>
      </c>
      <c r="B1143" s="11" t="s">
        <v>26</v>
      </c>
      <c r="C1143" s="11" t="s">
        <v>33</v>
      </c>
      <c r="D1143" s="11">
        <v>622.16</v>
      </c>
      <c r="E1143" s="11">
        <v>35</v>
      </c>
      <c r="F1143" s="11">
        <v>21775.599999999999</v>
      </c>
      <c r="G1143" s="12">
        <v>45092</v>
      </c>
      <c r="H1143" s="12">
        <v>45358</v>
      </c>
      <c r="I1143">
        <f t="shared" si="17"/>
        <v>1</v>
      </c>
    </row>
    <row r="1144" spans="1:9" x14ac:dyDescent="0.3">
      <c r="A1144" s="11">
        <v>48744</v>
      </c>
      <c r="B1144" s="11" t="s">
        <v>10</v>
      </c>
      <c r="C1144" s="11" t="s">
        <v>41</v>
      </c>
      <c r="D1144" s="11">
        <v>110.41</v>
      </c>
      <c r="E1144" s="11">
        <v>7</v>
      </c>
      <c r="F1144" s="11">
        <v>772.87</v>
      </c>
      <c r="G1144" s="12">
        <v>45151</v>
      </c>
      <c r="H1144" s="12">
        <v>45159</v>
      </c>
      <c r="I1144">
        <f t="shared" si="17"/>
        <v>0</v>
      </c>
    </row>
    <row r="1145" spans="1:9" x14ac:dyDescent="0.3">
      <c r="A1145" s="11">
        <v>83441</v>
      </c>
      <c r="B1145" s="11" t="s">
        <v>17</v>
      </c>
      <c r="C1145" s="11" t="s">
        <v>71</v>
      </c>
      <c r="D1145" s="11">
        <v>870.6</v>
      </c>
      <c r="E1145" s="11">
        <v>12</v>
      </c>
      <c r="F1145" s="11">
        <v>10447.200000000001</v>
      </c>
      <c r="G1145" s="12">
        <v>45506</v>
      </c>
      <c r="H1145" s="12">
        <v>45490</v>
      </c>
      <c r="I1145" t="e">
        <f t="shared" si="17"/>
        <v>#NUM!</v>
      </c>
    </row>
    <row r="1146" spans="1:9" x14ac:dyDescent="0.3">
      <c r="A1146" s="11">
        <v>87362</v>
      </c>
      <c r="B1146" s="11" t="s">
        <v>11</v>
      </c>
      <c r="C1146" s="11" t="s">
        <v>42</v>
      </c>
      <c r="D1146" s="11">
        <v>112.52</v>
      </c>
      <c r="E1146" s="11">
        <v>23</v>
      </c>
      <c r="F1146" s="11">
        <v>2587.96</v>
      </c>
      <c r="G1146" s="12">
        <v>45219</v>
      </c>
      <c r="H1146" s="12">
        <v>45502</v>
      </c>
      <c r="I1146">
        <f t="shared" si="17"/>
        <v>1</v>
      </c>
    </row>
    <row r="1147" spans="1:9" x14ac:dyDescent="0.3">
      <c r="A1147" s="11">
        <v>68533</v>
      </c>
      <c r="B1147" s="11" t="s">
        <v>14</v>
      </c>
      <c r="C1147" s="11" t="s">
        <v>49</v>
      </c>
      <c r="D1147" s="11">
        <v>534.77</v>
      </c>
      <c r="E1147" s="11">
        <v>39</v>
      </c>
      <c r="F1147" s="11">
        <v>20856.03</v>
      </c>
      <c r="G1147" s="12">
        <v>45436</v>
      </c>
      <c r="H1147" s="12">
        <v>45421</v>
      </c>
      <c r="I1147" t="e">
        <f t="shared" si="17"/>
        <v>#NUM!</v>
      </c>
    </row>
    <row r="1148" spans="1:9" x14ac:dyDescent="0.3">
      <c r="A1148" s="11">
        <v>38978</v>
      </c>
      <c r="B1148" s="11" t="s">
        <v>22</v>
      </c>
      <c r="C1148" s="11" t="s">
        <v>75</v>
      </c>
      <c r="D1148" s="11">
        <v>325</v>
      </c>
      <c r="E1148" s="11">
        <v>44</v>
      </c>
      <c r="F1148" s="11">
        <v>14300</v>
      </c>
      <c r="G1148" s="12">
        <v>44957</v>
      </c>
      <c r="H1148" s="12">
        <v>45609</v>
      </c>
      <c r="I1148">
        <f t="shared" si="17"/>
        <v>1</v>
      </c>
    </row>
    <row r="1149" spans="1:9" x14ac:dyDescent="0.3">
      <c r="A1149" s="11">
        <v>49936</v>
      </c>
      <c r="B1149" s="11" t="s">
        <v>11</v>
      </c>
      <c r="C1149" s="11" t="s">
        <v>49</v>
      </c>
      <c r="D1149" s="11">
        <v>534.77</v>
      </c>
      <c r="E1149" s="11">
        <v>12</v>
      </c>
      <c r="F1149" s="11">
        <v>6417.24</v>
      </c>
      <c r="G1149" s="12">
        <v>45363</v>
      </c>
      <c r="H1149" s="12">
        <v>45072</v>
      </c>
      <c r="I1149" t="e">
        <f t="shared" si="17"/>
        <v>#NUM!</v>
      </c>
    </row>
    <row r="1150" spans="1:9" x14ac:dyDescent="0.3">
      <c r="A1150" s="11">
        <v>44167</v>
      </c>
      <c r="B1150" s="11" t="s">
        <v>16</v>
      </c>
      <c r="C1150" s="11" t="s">
        <v>44</v>
      </c>
      <c r="D1150" s="11">
        <v>654.4</v>
      </c>
      <c r="E1150" s="11">
        <v>21</v>
      </c>
      <c r="F1150" s="11">
        <v>13742.4</v>
      </c>
      <c r="G1150" s="12">
        <v>45115</v>
      </c>
      <c r="H1150" s="12">
        <v>45180</v>
      </c>
      <c r="I1150">
        <f t="shared" si="17"/>
        <v>1</v>
      </c>
    </row>
    <row r="1151" spans="1:9" x14ac:dyDescent="0.3">
      <c r="A1151" s="11">
        <v>29248</v>
      </c>
      <c r="B1151" s="11" t="s">
        <v>17</v>
      </c>
      <c r="C1151" s="11" t="s">
        <v>57</v>
      </c>
      <c r="D1151" s="11">
        <v>404.9</v>
      </c>
      <c r="E1151" s="11">
        <v>12</v>
      </c>
      <c r="F1151" s="11">
        <v>4858.8</v>
      </c>
      <c r="G1151" s="12">
        <v>45457</v>
      </c>
      <c r="H1151" s="12">
        <v>45340</v>
      </c>
      <c r="I1151" t="e">
        <f t="shared" si="17"/>
        <v>#NUM!</v>
      </c>
    </row>
    <row r="1152" spans="1:9" x14ac:dyDescent="0.3">
      <c r="A1152" s="11">
        <v>38165</v>
      </c>
      <c r="B1152" s="11" t="s">
        <v>22</v>
      </c>
      <c r="C1152" s="11" t="s">
        <v>40</v>
      </c>
      <c r="D1152" s="11">
        <v>875.47</v>
      </c>
      <c r="E1152" s="11">
        <v>28</v>
      </c>
      <c r="F1152" s="11">
        <v>24513.16</v>
      </c>
      <c r="G1152" s="12">
        <v>45001</v>
      </c>
      <c r="H1152" s="12">
        <v>45107</v>
      </c>
      <c r="I1152">
        <f t="shared" si="17"/>
        <v>1</v>
      </c>
    </row>
    <row r="1153" spans="1:9" x14ac:dyDescent="0.3">
      <c r="A1153" s="11">
        <v>48834</v>
      </c>
      <c r="B1153" s="11" t="s">
        <v>14</v>
      </c>
      <c r="C1153" s="11" t="s">
        <v>72</v>
      </c>
      <c r="D1153" s="11">
        <v>913.18</v>
      </c>
      <c r="E1153" s="11">
        <v>28</v>
      </c>
      <c r="F1153" s="11">
        <v>25569.040000000001</v>
      </c>
      <c r="G1153" s="12">
        <v>45250</v>
      </c>
      <c r="H1153" s="12">
        <v>45234</v>
      </c>
      <c r="I1153" t="e">
        <f t="shared" si="17"/>
        <v>#NUM!</v>
      </c>
    </row>
    <row r="1154" spans="1:9" x14ac:dyDescent="0.3">
      <c r="A1154" s="11">
        <v>14757</v>
      </c>
      <c r="B1154" s="11" t="s">
        <v>14</v>
      </c>
      <c r="C1154" s="11" t="s">
        <v>47</v>
      </c>
      <c r="D1154" s="11">
        <v>682.74</v>
      </c>
      <c r="E1154" s="11">
        <v>32</v>
      </c>
      <c r="F1154" s="11">
        <v>21847.68</v>
      </c>
      <c r="G1154" s="12">
        <v>45585</v>
      </c>
      <c r="H1154" s="12">
        <v>45388</v>
      </c>
      <c r="I1154" t="e">
        <f t="shared" si="17"/>
        <v>#NUM!</v>
      </c>
    </row>
    <row r="1155" spans="1:9" x14ac:dyDescent="0.3">
      <c r="A1155" s="11">
        <v>55730</v>
      </c>
      <c r="B1155" s="11" t="s">
        <v>20</v>
      </c>
      <c r="C1155" s="11" t="s">
        <v>56</v>
      </c>
      <c r="D1155" s="11">
        <v>641.34</v>
      </c>
      <c r="E1155" s="11">
        <v>29</v>
      </c>
      <c r="F1155" s="11">
        <v>18598.86</v>
      </c>
      <c r="G1155" s="12">
        <v>44993</v>
      </c>
      <c r="H1155" s="12">
        <v>45470</v>
      </c>
      <c r="I1155">
        <f t="shared" ref="I1155:I1218" si="18">IF(DATEDIF(G1155,H1155,"d") &gt; 15,1,0)</f>
        <v>1</v>
      </c>
    </row>
    <row r="1156" spans="1:9" x14ac:dyDescent="0.3">
      <c r="A1156" s="11">
        <v>88585</v>
      </c>
      <c r="B1156" s="11" t="s">
        <v>25</v>
      </c>
      <c r="C1156" s="11" t="s">
        <v>32</v>
      </c>
      <c r="D1156" s="11">
        <v>546.64</v>
      </c>
      <c r="E1156" s="11">
        <v>40</v>
      </c>
      <c r="F1156" s="11">
        <v>21865.599999999999</v>
      </c>
      <c r="G1156" s="12">
        <v>45217</v>
      </c>
      <c r="H1156" s="12">
        <v>45197</v>
      </c>
      <c r="I1156" t="e">
        <f t="shared" si="18"/>
        <v>#NUM!</v>
      </c>
    </row>
    <row r="1157" spans="1:9" x14ac:dyDescent="0.3">
      <c r="A1157" s="11">
        <v>39342</v>
      </c>
      <c r="B1157" s="11" t="s">
        <v>22</v>
      </c>
      <c r="C1157" s="11" t="s">
        <v>72</v>
      </c>
      <c r="D1157" s="11">
        <v>913.18</v>
      </c>
      <c r="E1157" s="11">
        <v>10</v>
      </c>
      <c r="F1157" s="11">
        <v>9131.7999999999993</v>
      </c>
      <c r="G1157" s="12">
        <v>44963</v>
      </c>
      <c r="H1157" s="12">
        <v>45189</v>
      </c>
      <c r="I1157">
        <f t="shared" si="18"/>
        <v>1</v>
      </c>
    </row>
    <row r="1158" spans="1:9" x14ac:dyDescent="0.3">
      <c r="A1158" s="11">
        <v>95665</v>
      </c>
      <c r="B1158" s="11" t="s">
        <v>24</v>
      </c>
      <c r="C1158" s="11" t="s">
        <v>57</v>
      </c>
      <c r="D1158" s="11">
        <v>404.9</v>
      </c>
      <c r="E1158" s="11">
        <v>6</v>
      </c>
      <c r="F1158" s="11">
        <v>2429.4</v>
      </c>
      <c r="G1158" s="12">
        <v>45023</v>
      </c>
      <c r="H1158" s="12">
        <v>45493</v>
      </c>
      <c r="I1158">
        <f t="shared" si="18"/>
        <v>1</v>
      </c>
    </row>
    <row r="1159" spans="1:9" x14ac:dyDescent="0.3">
      <c r="A1159" s="11">
        <v>77536</v>
      </c>
      <c r="B1159" s="11" t="s">
        <v>18</v>
      </c>
      <c r="C1159" s="11" t="s">
        <v>41</v>
      </c>
      <c r="D1159" s="11">
        <v>110.41</v>
      </c>
      <c r="E1159" s="11">
        <v>32</v>
      </c>
      <c r="F1159" s="11">
        <v>3533.12</v>
      </c>
      <c r="G1159" s="12">
        <v>45290</v>
      </c>
      <c r="H1159" s="12">
        <v>45566</v>
      </c>
      <c r="I1159">
        <f t="shared" si="18"/>
        <v>1</v>
      </c>
    </row>
    <row r="1160" spans="1:9" x14ac:dyDescent="0.3">
      <c r="A1160" s="11">
        <v>24310</v>
      </c>
      <c r="B1160" s="11" t="s">
        <v>10</v>
      </c>
      <c r="C1160" s="11" t="s">
        <v>29</v>
      </c>
      <c r="D1160" s="11">
        <v>683.98</v>
      </c>
      <c r="E1160" s="11">
        <v>28</v>
      </c>
      <c r="F1160" s="11">
        <v>19151.439999999999</v>
      </c>
      <c r="G1160" s="12">
        <v>44948</v>
      </c>
      <c r="H1160" s="12">
        <v>45115</v>
      </c>
      <c r="I1160">
        <f t="shared" si="18"/>
        <v>1</v>
      </c>
    </row>
    <row r="1161" spans="1:9" x14ac:dyDescent="0.3">
      <c r="A1161" s="11">
        <v>34582</v>
      </c>
      <c r="B1161" s="11" t="s">
        <v>11</v>
      </c>
      <c r="C1161" s="11" t="s">
        <v>68</v>
      </c>
      <c r="D1161" s="11">
        <v>795.19</v>
      </c>
      <c r="E1161" s="11">
        <v>12</v>
      </c>
      <c r="F1161" s="11">
        <v>9542.2800000000007</v>
      </c>
      <c r="G1161" s="12">
        <v>45415</v>
      </c>
      <c r="H1161" s="12">
        <v>44987</v>
      </c>
      <c r="I1161" t="e">
        <f t="shared" si="18"/>
        <v>#NUM!</v>
      </c>
    </row>
    <row r="1162" spans="1:9" x14ac:dyDescent="0.3">
      <c r="A1162" s="11">
        <v>65334</v>
      </c>
      <c r="B1162" s="11" t="s">
        <v>25</v>
      </c>
      <c r="C1162" s="11" t="s">
        <v>37</v>
      </c>
      <c r="D1162" s="11">
        <v>796.94</v>
      </c>
      <c r="E1162" s="11">
        <v>8</v>
      </c>
      <c r="F1162" s="11">
        <v>6375.52</v>
      </c>
      <c r="G1162" s="12">
        <v>45299</v>
      </c>
      <c r="H1162" s="12">
        <v>44962</v>
      </c>
      <c r="I1162" t="e">
        <f t="shared" si="18"/>
        <v>#NUM!</v>
      </c>
    </row>
    <row r="1163" spans="1:9" x14ac:dyDescent="0.3">
      <c r="A1163" s="11">
        <v>70484</v>
      </c>
      <c r="B1163" s="11" t="s">
        <v>19</v>
      </c>
      <c r="C1163" s="11" t="s">
        <v>55</v>
      </c>
      <c r="D1163" s="11">
        <v>399.32</v>
      </c>
      <c r="E1163" s="11">
        <v>35</v>
      </c>
      <c r="F1163" s="11">
        <v>13976.2</v>
      </c>
      <c r="G1163" s="12">
        <v>45514</v>
      </c>
      <c r="H1163" s="12">
        <v>45581</v>
      </c>
      <c r="I1163">
        <f t="shared" si="18"/>
        <v>1</v>
      </c>
    </row>
    <row r="1164" spans="1:9" x14ac:dyDescent="0.3">
      <c r="A1164" s="11">
        <v>75027</v>
      </c>
      <c r="B1164" s="11" t="s">
        <v>20</v>
      </c>
      <c r="C1164" s="11" t="s">
        <v>71</v>
      </c>
      <c r="D1164" s="11">
        <v>870.6</v>
      </c>
      <c r="E1164" s="11">
        <v>9</v>
      </c>
      <c r="F1164" s="11">
        <v>7835.4</v>
      </c>
      <c r="G1164" s="12">
        <v>45477</v>
      </c>
      <c r="H1164" s="12">
        <v>45272</v>
      </c>
      <c r="I1164" t="e">
        <f t="shared" si="18"/>
        <v>#NUM!</v>
      </c>
    </row>
    <row r="1165" spans="1:9" x14ac:dyDescent="0.3">
      <c r="A1165" s="11">
        <v>20155</v>
      </c>
      <c r="B1165" s="11" t="s">
        <v>20</v>
      </c>
      <c r="C1165" s="11" t="s">
        <v>42</v>
      </c>
      <c r="D1165" s="11">
        <v>112.52</v>
      </c>
      <c r="E1165" s="11">
        <v>50</v>
      </c>
      <c r="F1165" s="11">
        <v>5626</v>
      </c>
      <c r="G1165" s="12">
        <v>45520</v>
      </c>
      <c r="H1165" s="12">
        <v>45010</v>
      </c>
      <c r="I1165" t="e">
        <f t="shared" si="18"/>
        <v>#NUM!</v>
      </c>
    </row>
    <row r="1166" spans="1:9" x14ac:dyDescent="0.3">
      <c r="A1166" s="11">
        <v>40959</v>
      </c>
      <c r="B1166" s="11" t="s">
        <v>11</v>
      </c>
      <c r="C1166" s="11" t="s">
        <v>57</v>
      </c>
      <c r="D1166" s="11">
        <v>404.9</v>
      </c>
      <c r="E1166" s="11">
        <v>30</v>
      </c>
      <c r="F1166" s="11">
        <v>12147</v>
      </c>
      <c r="G1166" s="12">
        <v>45322</v>
      </c>
      <c r="H1166" s="12">
        <v>45303</v>
      </c>
      <c r="I1166" t="e">
        <f t="shared" si="18"/>
        <v>#NUM!</v>
      </c>
    </row>
    <row r="1167" spans="1:9" x14ac:dyDescent="0.3">
      <c r="A1167" s="11">
        <v>30482</v>
      </c>
      <c r="B1167" s="11" t="s">
        <v>24</v>
      </c>
      <c r="C1167" s="11" t="s">
        <v>43</v>
      </c>
      <c r="D1167" s="11">
        <v>608.37</v>
      </c>
      <c r="E1167" s="11">
        <v>25</v>
      </c>
      <c r="F1167" s="11">
        <v>15209.25</v>
      </c>
      <c r="G1167" s="12">
        <v>45092</v>
      </c>
      <c r="H1167" s="12">
        <v>45253</v>
      </c>
      <c r="I1167">
        <f t="shared" si="18"/>
        <v>1</v>
      </c>
    </row>
    <row r="1168" spans="1:9" x14ac:dyDescent="0.3">
      <c r="A1168" s="11">
        <v>48787</v>
      </c>
      <c r="B1168" s="11" t="s">
        <v>16</v>
      </c>
      <c r="C1168" s="11" t="s">
        <v>67</v>
      </c>
      <c r="D1168" s="11">
        <v>402.36</v>
      </c>
      <c r="E1168" s="11">
        <v>18</v>
      </c>
      <c r="F1168" s="11">
        <v>7242.48</v>
      </c>
      <c r="G1168" s="12">
        <v>45071</v>
      </c>
      <c r="H1168" s="12">
        <v>45518</v>
      </c>
      <c r="I1168">
        <f t="shared" si="18"/>
        <v>1</v>
      </c>
    </row>
    <row r="1169" spans="1:9" x14ac:dyDescent="0.3">
      <c r="A1169" s="11">
        <v>51858</v>
      </c>
      <c r="B1169" s="11" t="s">
        <v>11</v>
      </c>
      <c r="C1169" s="11" t="s">
        <v>58</v>
      </c>
      <c r="D1169" s="11">
        <v>988.73</v>
      </c>
      <c r="E1169" s="11">
        <v>35</v>
      </c>
      <c r="F1169" s="11">
        <v>34605.550000000003</v>
      </c>
      <c r="G1169" s="12">
        <v>45041</v>
      </c>
      <c r="H1169" s="12">
        <v>45526</v>
      </c>
      <c r="I1169">
        <f t="shared" si="18"/>
        <v>1</v>
      </c>
    </row>
    <row r="1170" spans="1:9" x14ac:dyDescent="0.3">
      <c r="A1170" s="11">
        <v>55536</v>
      </c>
      <c r="B1170" s="11" t="s">
        <v>8</v>
      </c>
      <c r="C1170" s="11" t="s">
        <v>59</v>
      </c>
      <c r="D1170" s="11">
        <v>346.37</v>
      </c>
      <c r="E1170" s="11">
        <v>39</v>
      </c>
      <c r="F1170" s="11">
        <v>13508.43</v>
      </c>
      <c r="G1170" s="12">
        <v>45292</v>
      </c>
      <c r="H1170" s="12">
        <v>45476</v>
      </c>
      <c r="I1170">
        <f t="shared" si="18"/>
        <v>1</v>
      </c>
    </row>
    <row r="1171" spans="1:9" x14ac:dyDescent="0.3">
      <c r="A1171" s="11">
        <v>28979</v>
      </c>
      <c r="B1171" s="11" t="s">
        <v>21</v>
      </c>
      <c r="C1171" s="11" t="s">
        <v>32</v>
      </c>
      <c r="D1171" s="11">
        <v>546.64</v>
      </c>
      <c r="E1171" s="11">
        <v>29</v>
      </c>
      <c r="F1171" s="11">
        <v>15852.56</v>
      </c>
      <c r="G1171" s="12">
        <v>45319</v>
      </c>
      <c r="H1171" s="12">
        <v>45473</v>
      </c>
      <c r="I1171">
        <f t="shared" si="18"/>
        <v>1</v>
      </c>
    </row>
    <row r="1172" spans="1:9" x14ac:dyDescent="0.3">
      <c r="A1172" s="11">
        <v>64776</v>
      </c>
      <c r="B1172" s="11" t="s">
        <v>19</v>
      </c>
      <c r="C1172" s="11" t="s">
        <v>47</v>
      </c>
      <c r="D1172" s="11">
        <v>682.74</v>
      </c>
      <c r="E1172" s="11">
        <v>40</v>
      </c>
      <c r="F1172" s="11">
        <v>27309.599999999999</v>
      </c>
      <c r="G1172" s="12">
        <v>44975</v>
      </c>
      <c r="H1172" s="12">
        <v>45515</v>
      </c>
      <c r="I1172">
        <f t="shared" si="18"/>
        <v>1</v>
      </c>
    </row>
    <row r="1173" spans="1:9" x14ac:dyDescent="0.3">
      <c r="A1173" s="11">
        <v>45753</v>
      </c>
      <c r="B1173" s="11" t="s">
        <v>11</v>
      </c>
      <c r="C1173" s="11" t="s">
        <v>37</v>
      </c>
      <c r="D1173" s="11">
        <v>796.94</v>
      </c>
      <c r="E1173" s="11">
        <v>10</v>
      </c>
      <c r="F1173" s="11">
        <v>7969.4</v>
      </c>
      <c r="G1173" s="12">
        <v>44974</v>
      </c>
      <c r="H1173" s="12">
        <v>45388</v>
      </c>
      <c r="I1173">
        <f t="shared" si="18"/>
        <v>1</v>
      </c>
    </row>
    <row r="1174" spans="1:9" x14ac:dyDescent="0.3">
      <c r="A1174" s="11">
        <v>49947</v>
      </c>
      <c r="B1174" s="11" t="s">
        <v>23</v>
      </c>
      <c r="C1174" s="11" t="s">
        <v>68</v>
      </c>
      <c r="D1174" s="11">
        <v>795.19</v>
      </c>
      <c r="E1174" s="11">
        <v>18</v>
      </c>
      <c r="F1174" s="11">
        <v>14313.42</v>
      </c>
      <c r="G1174" s="12">
        <v>45064</v>
      </c>
      <c r="H1174" s="12">
        <v>45209</v>
      </c>
      <c r="I1174">
        <f t="shared" si="18"/>
        <v>1</v>
      </c>
    </row>
    <row r="1175" spans="1:9" x14ac:dyDescent="0.3">
      <c r="A1175" s="11">
        <v>96011</v>
      </c>
      <c r="B1175" s="11" t="s">
        <v>8</v>
      </c>
      <c r="C1175" s="11" t="s">
        <v>70</v>
      </c>
      <c r="D1175" s="11">
        <v>430.1</v>
      </c>
      <c r="E1175" s="11">
        <v>33</v>
      </c>
      <c r="F1175" s="11">
        <v>14193.3</v>
      </c>
      <c r="G1175" s="12">
        <v>45280</v>
      </c>
      <c r="H1175" s="12">
        <v>45617</v>
      </c>
      <c r="I1175">
        <f t="shared" si="18"/>
        <v>1</v>
      </c>
    </row>
    <row r="1176" spans="1:9" x14ac:dyDescent="0.3">
      <c r="A1176" s="11">
        <v>29807</v>
      </c>
      <c r="B1176" s="11" t="s">
        <v>11</v>
      </c>
      <c r="C1176" s="11" t="s">
        <v>66</v>
      </c>
      <c r="D1176" s="11">
        <v>45.72</v>
      </c>
      <c r="E1176" s="11">
        <v>22</v>
      </c>
      <c r="F1176" s="11">
        <v>1005.84</v>
      </c>
      <c r="G1176" s="12">
        <v>45525</v>
      </c>
      <c r="H1176" s="12">
        <v>45459</v>
      </c>
      <c r="I1176" t="e">
        <f t="shared" si="18"/>
        <v>#NUM!</v>
      </c>
    </row>
    <row r="1177" spans="1:9" x14ac:dyDescent="0.3">
      <c r="A1177" s="11">
        <v>78955</v>
      </c>
      <c r="B1177" s="11" t="s">
        <v>26</v>
      </c>
      <c r="C1177" s="11" t="s">
        <v>49</v>
      </c>
      <c r="D1177" s="11">
        <v>534.77</v>
      </c>
      <c r="E1177" s="11">
        <v>49</v>
      </c>
      <c r="F1177" s="11">
        <v>26203.73</v>
      </c>
      <c r="G1177" s="12">
        <v>45203</v>
      </c>
      <c r="H1177" s="12">
        <v>45334</v>
      </c>
      <c r="I1177">
        <f t="shared" si="18"/>
        <v>1</v>
      </c>
    </row>
    <row r="1178" spans="1:9" x14ac:dyDescent="0.3">
      <c r="A1178" s="11">
        <v>68692</v>
      </c>
      <c r="B1178" s="11" t="s">
        <v>14</v>
      </c>
      <c r="C1178" s="11" t="s">
        <v>57</v>
      </c>
      <c r="D1178" s="11">
        <v>404.9</v>
      </c>
      <c r="E1178" s="11">
        <v>29</v>
      </c>
      <c r="F1178" s="11">
        <v>11742.1</v>
      </c>
      <c r="G1178" s="12">
        <v>45673</v>
      </c>
      <c r="H1178" s="12">
        <v>45081</v>
      </c>
      <c r="I1178" t="e">
        <f t="shared" si="18"/>
        <v>#NUM!</v>
      </c>
    </row>
    <row r="1179" spans="1:9" x14ac:dyDescent="0.3">
      <c r="A1179" s="11">
        <v>63340</v>
      </c>
      <c r="B1179" s="11" t="s">
        <v>27</v>
      </c>
      <c r="C1179" s="11" t="s">
        <v>64</v>
      </c>
      <c r="D1179" s="11">
        <v>796.51</v>
      </c>
      <c r="E1179" s="11">
        <v>14</v>
      </c>
      <c r="F1179" s="11">
        <v>11151.14</v>
      </c>
      <c r="G1179" s="12">
        <v>45215</v>
      </c>
      <c r="H1179" s="12">
        <v>45618</v>
      </c>
      <c r="I1179">
        <f t="shared" si="18"/>
        <v>1</v>
      </c>
    </row>
    <row r="1180" spans="1:9" x14ac:dyDescent="0.3">
      <c r="A1180" s="11">
        <v>23716</v>
      </c>
      <c r="B1180" s="11" t="s">
        <v>17</v>
      </c>
      <c r="C1180" s="11" t="s">
        <v>46</v>
      </c>
      <c r="D1180" s="11">
        <v>617.33000000000004</v>
      </c>
      <c r="E1180" s="11">
        <v>14</v>
      </c>
      <c r="F1180" s="11">
        <v>8642.6200000000008</v>
      </c>
      <c r="G1180" s="12">
        <v>45400</v>
      </c>
      <c r="H1180" s="12">
        <v>45220</v>
      </c>
      <c r="I1180" t="e">
        <f t="shared" si="18"/>
        <v>#NUM!</v>
      </c>
    </row>
    <row r="1181" spans="1:9" x14ac:dyDescent="0.3">
      <c r="A1181" s="11">
        <v>78193</v>
      </c>
      <c r="B1181" s="11" t="s">
        <v>26</v>
      </c>
      <c r="C1181" s="11" t="s">
        <v>57</v>
      </c>
      <c r="D1181" s="11">
        <v>404.9</v>
      </c>
      <c r="E1181" s="11">
        <v>46</v>
      </c>
      <c r="F1181" s="11">
        <v>18625.400000000001</v>
      </c>
      <c r="G1181" s="12">
        <v>45647</v>
      </c>
      <c r="H1181" s="12">
        <v>45611</v>
      </c>
      <c r="I1181" t="e">
        <f t="shared" si="18"/>
        <v>#NUM!</v>
      </c>
    </row>
    <row r="1182" spans="1:9" x14ac:dyDescent="0.3">
      <c r="A1182" s="11">
        <v>80030</v>
      </c>
      <c r="B1182" s="11" t="s">
        <v>24</v>
      </c>
      <c r="C1182" s="11" t="s">
        <v>41</v>
      </c>
      <c r="D1182" s="11">
        <v>110.41</v>
      </c>
      <c r="E1182" s="11">
        <v>29</v>
      </c>
      <c r="F1182" s="11">
        <v>3201.89</v>
      </c>
      <c r="G1182" s="12">
        <v>45221</v>
      </c>
      <c r="H1182" s="12">
        <v>45231</v>
      </c>
      <c r="I1182">
        <f t="shared" si="18"/>
        <v>0</v>
      </c>
    </row>
    <row r="1183" spans="1:9" x14ac:dyDescent="0.3">
      <c r="A1183" s="11">
        <v>43866</v>
      </c>
      <c r="B1183" s="11" t="s">
        <v>21</v>
      </c>
      <c r="C1183" s="11" t="s">
        <v>28</v>
      </c>
      <c r="D1183" s="11">
        <v>855.99</v>
      </c>
      <c r="E1183" s="11">
        <v>45</v>
      </c>
      <c r="F1183" s="11">
        <v>38519.550000000003</v>
      </c>
      <c r="G1183" s="12">
        <v>45557</v>
      </c>
      <c r="H1183" s="12">
        <v>45228</v>
      </c>
      <c r="I1183" t="e">
        <f t="shared" si="18"/>
        <v>#NUM!</v>
      </c>
    </row>
    <row r="1184" spans="1:9" x14ac:dyDescent="0.3">
      <c r="A1184" s="11">
        <v>86710</v>
      </c>
      <c r="B1184" s="11" t="s">
        <v>19</v>
      </c>
      <c r="C1184" s="11" t="s">
        <v>48</v>
      </c>
      <c r="D1184" s="11">
        <v>93.68</v>
      </c>
      <c r="E1184" s="11">
        <v>34</v>
      </c>
      <c r="F1184" s="11">
        <v>3185.12</v>
      </c>
      <c r="G1184" s="12">
        <v>45448</v>
      </c>
      <c r="H1184" s="12">
        <v>45153</v>
      </c>
      <c r="I1184" t="e">
        <f t="shared" si="18"/>
        <v>#NUM!</v>
      </c>
    </row>
    <row r="1185" spans="1:9" x14ac:dyDescent="0.3">
      <c r="A1185" s="11">
        <v>18098</v>
      </c>
      <c r="B1185" s="11" t="s">
        <v>9</v>
      </c>
      <c r="C1185" s="11" t="s">
        <v>57</v>
      </c>
      <c r="D1185" s="11">
        <v>404.9</v>
      </c>
      <c r="E1185" s="11">
        <v>18</v>
      </c>
      <c r="F1185" s="11">
        <v>7288.2</v>
      </c>
      <c r="G1185" s="12">
        <v>45507</v>
      </c>
      <c r="H1185" s="12">
        <v>45044</v>
      </c>
      <c r="I1185" t="e">
        <f t="shared" si="18"/>
        <v>#NUM!</v>
      </c>
    </row>
    <row r="1186" spans="1:9" x14ac:dyDescent="0.3">
      <c r="A1186" s="11">
        <v>65737</v>
      </c>
      <c r="B1186" s="11" t="s">
        <v>27</v>
      </c>
      <c r="C1186" s="11" t="s">
        <v>33</v>
      </c>
      <c r="D1186" s="11">
        <v>622.16</v>
      </c>
      <c r="E1186" s="11">
        <v>41</v>
      </c>
      <c r="F1186" s="11">
        <v>25508.560000000001</v>
      </c>
      <c r="G1186" s="12">
        <v>45060</v>
      </c>
      <c r="H1186" s="12">
        <v>45639</v>
      </c>
      <c r="I1186">
        <f t="shared" si="18"/>
        <v>1</v>
      </c>
    </row>
    <row r="1187" spans="1:9" x14ac:dyDescent="0.3">
      <c r="A1187" s="11">
        <v>93666</v>
      </c>
      <c r="B1187" s="11" t="s">
        <v>15</v>
      </c>
      <c r="C1187" s="11" t="s">
        <v>36</v>
      </c>
      <c r="D1187" s="11">
        <v>596.97</v>
      </c>
      <c r="E1187" s="11">
        <v>36</v>
      </c>
      <c r="F1187" s="11">
        <v>21490.92</v>
      </c>
      <c r="G1187" s="12">
        <v>45150</v>
      </c>
      <c r="H1187" s="12">
        <v>45552</v>
      </c>
      <c r="I1187">
        <f t="shared" si="18"/>
        <v>1</v>
      </c>
    </row>
    <row r="1188" spans="1:9" x14ac:dyDescent="0.3">
      <c r="A1188" s="11">
        <v>92913</v>
      </c>
      <c r="B1188" s="11" t="s">
        <v>17</v>
      </c>
      <c r="C1188" s="11" t="s">
        <v>77</v>
      </c>
      <c r="D1188" s="11">
        <v>761.92</v>
      </c>
      <c r="E1188" s="11">
        <v>11</v>
      </c>
      <c r="F1188" s="11">
        <v>8381.1200000000008</v>
      </c>
      <c r="G1188" s="12">
        <v>45436</v>
      </c>
      <c r="H1188" s="12">
        <v>45430</v>
      </c>
      <c r="I1188" t="e">
        <f t="shared" si="18"/>
        <v>#NUM!</v>
      </c>
    </row>
    <row r="1189" spans="1:9" x14ac:dyDescent="0.3">
      <c r="A1189" s="11">
        <v>13225</v>
      </c>
      <c r="B1189" s="11" t="s">
        <v>8</v>
      </c>
      <c r="C1189" s="11" t="s">
        <v>71</v>
      </c>
      <c r="D1189" s="11">
        <v>870.6</v>
      </c>
      <c r="E1189" s="11">
        <v>8</v>
      </c>
      <c r="F1189" s="11">
        <v>6964.8</v>
      </c>
      <c r="G1189" s="12">
        <v>45336</v>
      </c>
      <c r="H1189" s="12">
        <v>45126</v>
      </c>
      <c r="I1189" t="e">
        <f t="shared" si="18"/>
        <v>#NUM!</v>
      </c>
    </row>
    <row r="1190" spans="1:9" x14ac:dyDescent="0.3">
      <c r="A1190" s="11">
        <v>32786</v>
      </c>
      <c r="B1190" s="11" t="s">
        <v>11</v>
      </c>
      <c r="C1190" s="11" t="s">
        <v>57</v>
      </c>
      <c r="D1190" s="11">
        <v>404.9</v>
      </c>
      <c r="E1190" s="11">
        <v>30</v>
      </c>
      <c r="F1190" s="11">
        <v>12147</v>
      </c>
      <c r="G1190" s="12">
        <v>45146</v>
      </c>
      <c r="H1190" s="12">
        <v>45610</v>
      </c>
      <c r="I1190">
        <f t="shared" si="18"/>
        <v>1</v>
      </c>
    </row>
    <row r="1191" spans="1:9" x14ac:dyDescent="0.3">
      <c r="A1191" s="11">
        <v>28402</v>
      </c>
      <c r="B1191" s="11" t="s">
        <v>16</v>
      </c>
      <c r="C1191" s="11" t="s">
        <v>32</v>
      </c>
      <c r="D1191" s="11">
        <v>546.64</v>
      </c>
      <c r="E1191" s="11">
        <v>26</v>
      </c>
      <c r="F1191" s="11">
        <v>14212.64</v>
      </c>
      <c r="G1191" s="12">
        <v>45045</v>
      </c>
      <c r="H1191" s="12">
        <v>45636</v>
      </c>
      <c r="I1191">
        <f t="shared" si="18"/>
        <v>1</v>
      </c>
    </row>
    <row r="1192" spans="1:9" x14ac:dyDescent="0.3">
      <c r="A1192" s="11">
        <v>25452</v>
      </c>
      <c r="B1192" s="11" t="s">
        <v>10</v>
      </c>
      <c r="C1192" s="11" t="s">
        <v>42</v>
      </c>
      <c r="D1192" s="11">
        <v>112.52</v>
      </c>
      <c r="E1192" s="11">
        <v>27</v>
      </c>
      <c r="F1192" s="11">
        <v>3038.04</v>
      </c>
      <c r="G1192" s="12">
        <v>45162</v>
      </c>
      <c r="H1192" s="12">
        <v>45606</v>
      </c>
      <c r="I1192">
        <f t="shared" si="18"/>
        <v>1</v>
      </c>
    </row>
    <row r="1193" spans="1:9" x14ac:dyDescent="0.3">
      <c r="A1193" s="11">
        <v>41225</v>
      </c>
      <c r="B1193" s="11" t="s">
        <v>22</v>
      </c>
      <c r="C1193" s="11" t="s">
        <v>42</v>
      </c>
      <c r="D1193" s="11">
        <v>112.52</v>
      </c>
      <c r="E1193" s="11">
        <v>18</v>
      </c>
      <c r="F1193" s="11">
        <v>2025.36</v>
      </c>
      <c r="G1193" s="12">
        <v>45533</v>
      </c>
      <c r="H1193" s="12">
        <v>45037</v>
      </c>
      <c r="I1193" t="e">
        <f t="shared" si="18"/>
        <v>#NUM!</v>
      </c>
    </row>
    <row r="1194" spans="1:9" x14ac:dyDescent="0.3">
      <c r="A1194" s="11">
        <v>44868</v>
      </c>
      <c r="B1194" s="11" t="s">
        <v>27</v>
      </c>
      <c r="C1194" s="11" t="s">
        <v>33</v>
      </c>
      <c r="D1194" s="11">
        <v>622.16</v>
      </c>
      <c r="E1194" s="11">
        <v>38</v>
      </c>
      <c r="F1194" s="11">
        <v>23642.080000000002</v>
      </c>
      <c r="G1194" s="12">
        <v>45401</v>
      </c>
      <c r="H1194" s="12">
        <v>45260</v>
      </c>
      <c r="I1194" t="e">
        <f t="shared" si="18"/>
        <v>#NUM!</v>
      </c>
    </row>
    <row r="1195" spans="1:9" x14ac:dyDescent="0.3">
      <c r="A1195" s="11">
        <v>12964</v>
      </c>
      <c r="B1195" s="11" t="s">
        <v>8</v>
      </c>
      <c r="C1195" s="11" t="s">
        <v>37</v>
      </c>
      <c r="D1195" s="11">
        <v>796.94</v>
      </c>
      <c r="E1195" s="11">
        <v>17</v>
      </c>
      <c r="F1195" s="11">
        <v>13547.98</v>
      </c>
      <c r="G1195" s="12">
        <v>45367</v>
      </c>
      <c r="H1195" s="12">
        <v>44963</v>
      </c>
      <c r="I1195" t="e">
        <f t="shared" si="18"/>
        <v>#NUM!</v>
      </c>
    </row>
    <row r="1196" spans="1:9" x14ac:dyDescent="0.3">
      <c r="A1196" s="11">
        <v>57175</v>
      </c>
      <c r="B1196" s="11" t="s">
        <v>21</v>
      </c>
      <c r="C1196" s="11" t="s">
        <v>59</v>
      </c>
      <c r="D1196" s="11">
        <v>346.37</v>
      </c>
      <c r="E1196" s="11">
        <v>29</v>
      </c>
      <c r="F1196" s="11">
        <v>10044.73</v>
      </c>
      <c r="G1196" s="12">
        <v>45184</v>
      </c>
      <c r="H1196" s="12">
        <v>45298</v>
      </c>
      <c r="I1196">
        <f t="shared" si="18"/>
        <v>1</v>
      </c>
    </row>
    <row r="1197" spans="1:9" x14ac:dyDescent="0.3">
      <c r="A1197" s="11">
        <v>91758</v>
      </c>
      <c r="B1197" s="11" t="s">
        <v>13</v>
      </c>
      <c r="C1197" s="11" t="s">
        <v>42</v>
      </c>
      <c r="D1197" s="11">
        <v>112.52</v>
      </c>
      <c r="E1197" s="11">
        <v>41</v>
      </c>
      <c r="F1197" s="11">
        <v>4613.32</v>
      </c>
      <c r="G1197" s="12">
        <v>45297</v>
      </c>
      <c r="H1197" s="12">
        <v>45606</v>
      </c>
      <c r="I1197">
        <f t="shared" si="18"/>
        <v>1</v>
      </c>
    </row>
    <row r="1198" spans="1:9" x14ac:dyDescent="0.3">
      <c r="A1198" s="11">
        <v>19880</v>
      </c>
      <c r="B1198" s="11" t="s">
        <v>8</v>
      </c>
      <c r="C1198" s="11" t="s">
        <v>72</v>
      </c>
      <c r="D1198" s="11">
        <v>913.18</v>
      </c>
      <c r="E1198" s="11">
        <v>36</v>
      </c>
      <c r="F1198" s="11">
        <v>32874.480000000003</v>
      </c>
      <c r="G1198" s="12">
        <v>45479</v>
      </c>
      <c r="H1198" s="12">
        <v>45593</v>
      </c>
      <c r="I1198">
        <f t="shared" si="18"/>
        <v>1</v>
      </c>
    </row>
    <row r="1199" spans="1:9" x14ac:dyDescent="0.3">
      <c r="A1199" s="11">
        <v>37477</v>
      </c>
      <c r="B1199" s="11" t="s">
        <v>11</v>
      </c>
      <c r="C1199" s="11" t="s">
        <v>77</v>
      </c>
      <c r="D1199" s="11">
        <v>761.92</v>
      </c>
      <c r="E1199" s="11">
        <v>2</v>
      </c>
      <c r="F1199" s="11">
        <v>1523.84</v>
      </c>
      <c r="G1199" s="12">
        <v>45043</v>
      </c>
      <c r="H1199" s="12">
        <v>45243</v>
      </c>
      <c r="I1199">
        <f t="shared" si="18"/>
        <v>1</v>
      </c>
    </row>
    <row r="1200" spans="1:9" x14ac:dyDescent="0.3">
      <c r="A1200" s="11">
        <v>80703</v>
      </c>
      <c r="B1200" s="11" t="s">
        <v>20</v>
      </c>
      <c r="C1200" s="11" t="s">
        <v>59</v>
      </c>
      <c r="D1200" s="11">
        <v>346.37</v>
      </c>
      <c r="E1200" s="11">
        <v>16</v>
      </c>
      <c r="F1200" s="11">
        <v>5541.92</v>
      </c>
      <c r="G1200" s="12">
        <v>45405</v>
      </c>
      <c r="H1200" s="12">
        <v>45015</v>
      </c>
      <c r="I1200" t="e">
        <f t="shared" si="18"/>
        <v>#NUM!</v>
      </c>
    </row>
    <row r="1201" spans="1:9" x14ac:dyDescent="0.3">
      <c r="A1201" s="11">
        <v>34239</v>
      </c>
      <c r="B1201" s="11" t="s">
        <v>19</v>
      </c>
      <c r="C1201" s="11" t="s">
        <v>60</v>
      </c>
      <c r="D1201" s="11">
        <v>184.57</v>
      </c>
      <c r="E1201" s="11">
        <v>33</v>
      </c>
      <c r="F1201" s="11">
        <v>6090.81</v>
      </c>
      <c r="G1201" s="12">
        <v>45658</v>
      </c>
      <c r="H1201" s="12">
        <v>45311</v>
      </c>
      <c r="I1201" t="e">
        <f t="shared" si="18"/>
        <v>#NUM!</v>
      </c>
    </row>
    <row r="1202" spans="1:9" x14ac:dyDescent="0.3">
      <c r="A1202" s="11">
        <v>74416</v>
      </c>
      <c r="B1202" s="11" t="s">
        <v>22</v>
      </c>
      <c r="C1202" s="11" t="s">
        <v>72</v>
      </c>
      <c r="D1202" s="11">
        <v>913.18</v>
      </c>
      <c r="E1202" s="11">
        <v>30</v>
      </c>
      <c r="F1202" s="11">
        <v>27395.4</v>
      </c>
      <c r="G1202" s="12">
        <v>45471</v>
      </c>
      <c r="H1202" s="12">
        <v>45014</v>
      </c>
      <c r="I1202" t="e">
        <f t="shared" si="18"/>
        <v>#NUM!</v>
      </c>
    </row>
    <row r="1203" spans="1:9" x14ac:dyDescent="0.3">
      <c r="A1203" s="11">
        <v>10094</v>
      </c>
      <c r="B1203" s="11" t="s">
        <v>22</v>
      </c>
      <c r="C1203" s="11" t="s">
        <v>68</v>
      </c>
      <c r="D1203" s="11">
        <v>795.19</v>
      </c>
      <c r="E1203" s="11">
        <v>40</v>
      </c>
      <c r="F1203" s="11">
        <v>31807.599999999999</v>
      </c>
      <c r="G1203" s="12">
        <v>45306</v>
      </c>
      <c r="H1203" s="12">
        <v>45394</v>
      </c>
      <c r="I1203">
        <f t="shared" si="18"/>
        <v>1</v>
      </c>
    </row>
    <row r="1204" spans="1:9" x14ac:dyDescent="0.3">
      <c r="A1204" s="11">
        <v>18959</v>
      </c>
      <c r="B1204" s="11" t="s">
        <v>20</v>
      </c>
      <c r="C1204" s="11" t="s">
        <v>46</v>
      </c>
      <c r="D1204" s="11">
        <v>617.33000000000004</v>
      </c>
      <c r="E1204" s="11">
        <v>35</v>
      </c>
      <c r="F1204" s="11">
        <v>21606.55</v>
      </c>
      <c r="G1204" s="12">
        <v>45393</v>
      </c>
      <c r="H1204" s="12">
        <v>45253</v>
      </c>
      <c r="I1204" t="e">
        <f t="shared" si="18"/>
        <v>#NUM!</v>
      </c>
    </row>
    <row r="1205" spans="1:9" x14ac:dyDescent="0.3">
      <c r="A1205" s="11">
        <v>92104</v>
      </c>
      <c r="B1205" s="11" t="s">
        <v>11</v>
      </c>
      <c r="C1205" s="11" t="s">
        <v>39</v>
      </c>
      <c r="D1205" s="11">
        <v>988.47</v>
      </c>
      <c r="E1205" s="11">
        <v>14</v>
      </c>
      <c r="F1205" s="11">
        <v>13838.58</v>
      </c>
      <c r="G1205" s="12">
        <v>45108</v>
      </c>
      <c r="H1205" s="12">
        <v>45079</v>
      </c>
      <c r="I1205" t="e">
        <f t="shared" si="18"/>
        <v>#NUM!</v>
      </c>
    </row>
    <row r="1206" spans="1:9" x14ac:dyDescent="0.3">
      <c r="A1206" s="11">
        <v>93857</v>
      </c>
      <c r="B1206" s="11" t="s">
        <v>24</v>
      </c>
      <c r="C1206" s="11" t="s">
        <v>34</v>
      </c>
      <c r="D1206" s="11">
        <v>222.47</v>
      </c>
      <c r="E1206" s="11">
        <v>35</v>
      </c>
      <c r="F1206" s="11">
        <v>7786.45</v>
      </c>
      <c r="G1206" s="12">
        <v>45578</v>
      </c>
      <c r="H1206" s="12">
        <v>45317</v>
      </c>
      <c r="I1206" t="e">
        <f t="shared" si="18"/>
        <v>#NUM!</v>
      </c>
    </row>
    <row r="1207" spans="1:9" x14ac:dyDescent="0.3">
      <c r="A1207" s="11">
        <v>83226</v>
      </c>
      <c r="B1207" s="11" t="s">
        <v>10</v>
      </c>
      <c r="C1207" s="11" t="s">
        <v>74</v>
      </c>
      <c r="D1207" s="11">
        <v>346.4</v>
      </c>
      <c r="E1207" s="11">
        <v>30</v>
      </c>
      <c r="F1207" s="11">
        <v>10392</v>
      </c>
      <c r="G1207" s="12">
        <v>45082</v>
      </c>
      <c r="H1207" s="12">
        <v>45120</v>
      </c>
      <c r="I1207">
        <f t="shared" si="18"/>
        <v>1</v>
      </c>
    </row>
    <row r="1208" spans="1:9" x14ac:dyDescent="0.3">
      <c r="A1208" s="11">
        <v>10822</v>
      </c>
      <c r="B1208" s="11" t="s">
        <v>14</v>
      </c>
      <c r="C1208" s="11" t="s">
        <v>45</v>
      </c>
      <c r="D1208" s="11">
        <v>366.3</v>
      </c>
      <c r="E1208" s="11">
        <v>6</v>
      </c>
      <c r="F1208" s="11">
        <v>2197.8000000000002</v>
      </c>
      <c r="G1208" s="12">
        <v>44992</v>
      </c>
      <c r="H1208" s="12">
        <v>45468</v>
      </c>
      <c r="I1208">
        <f t="shared" si="18"/>
        <v>1</v>
      </c>
    </row>
    <row r="1209" spans="1:9" x14ac:dyDescent="0.3">
      <c r="A1209" s="11">
        <v>34186</v>
      </c>
      <c r="B1209" s="11" t="s">
        <v>11</v>
      </c>
      <c r="C1209" s="11" t="s">
        <v>45</v>
      </c>
      <c r="D1209" s="11">
        <v>366.3</v>
      </c>
      <c r="E1209" s="11">
        <v>45</v>
      </c>
      <c r="F1209" s="11">
        <v>16483.5</v>
      </c>
      <c r="G1209" s="12">
        <v>44950</v>
      </c>
      <c r="H1209" s="12">
        <v>45503</v>
      </c>
      <c r="I1209">
        <f t="shared" si="18"/>
        <v>1</v>
      </c>
    </row>
    <row r="1210" spans="1:9" x14ac:dyDescent="0.3">
      <c r="A1210" s="11">
        <v>86508</v>
      </c>
      <c r="B1210" s="11" t="s">
        <v>23</v>
      </c>
      <c r="C1210" s="11" t="s">
        <v>35</v>
      </c>
      <c r="D1210" s="11">
        <v>101.12</v>
      </c>
      <c r="E1210" s="11">
        <v>27</v>
      </c>
      <c r="F1210" s="11">
        <v>2730.24</v>
      </c>
      <c r="G1210" s="12">
        <v>45653</v>
      </c>
      <c r="H1210" s="12">
        <v>45089</v>
      </c>
      <c r="I1210" t="e">
        <f t="shared" si="18"/>
        <v>#NUM!</v>
      </c>
    </row>
    <row r="1211" spans="1:9" x14ac:dyDescent="0.3">
      <c r="A1211" s="11">
        <v>95683</v>
      </c>
      <c r="B1211" s="11" t="s">
        <v>23</v>
      </c>
      <c r="C1211" s="11" t="s">
        <v>71</v>
      </c>
      <c r="D1211" s="11">
        <v>870.6</v>
      </c>
      <c r="E1211" s="11">
        <v>46</v>
      </c>
      <c r="F1211" s="11">
        <v>40047.599999999999</v>
      </c>
      <c r="G1211" s="12">
        <v>45311</v>
      </c>
      <c r="H1211" s="12">
        <v>45579</v>
      </c>
      <c r="I1211">
        <f t="shared" si="18"/>
        <v>1</v>
      </c>
    </row>
    <row r="1212" spans="1:9" x14ac:dyDescent="0.3">
      <c r="A1212" s="11">
        <v>69013</v>
      </c>
      <c r="B1212" s="11" t="s">
        <v>23</v>
      </c>
      <c r="C1212" s="11" t="s">
        <v>59</v>
      </c>
      <c r="D1212" s="11">
        <v>346.37</v>
      </c>
      <c r="E1212" s="11">
        <v>37</v>
      </c>
      <c r="F1212" s="11">
        <v>12815.69</v>
      </c>
      <c r="G1212" s="12">
        <v>45627</v>
      </c>
      <c r="H1212" s="12">
        <v>45282</v>
      </c>
      <c r="I1212" t="e">
        <f t="shared" si="18"/>
        <v>#NUM!</v>
      </c>
    </row>
    <row r="1213" spans="1:9" x14ac:dyDescent="0.3">
      <c r="A1213" s="11">
        <v>59982</v>
      </c>
      <c r="B1213" s="11" t="s">
        <v>25</v>
      </c>
      <c r="C1213" s="11" t="s">
        <v>70</v>
      </c>
      <c r="D1213" s="11">
        <v>430.1</v>
      </c>
      <c r="E1213" s="11">
        <v>19</v>
      </c>
      <c r="F1213" s="11">
        <v>8171.9</v>
      </c>
      <c r="G1213" s="12">
        <v>45142</v>
      </c>
      <c r="H1213" s="12">
        <v>45159</v>
      </c>
      <c r="I1213">
        <f t="shared" si="18"/>
        <v>1</v>
      </c>
    </row>
    <row r="1214" spans="1:9" x14ac:dyDescent="0.3">
      <c r="A1214" s="11">
        <v>16449</v>
      </c>
      <c r="B1214" s="11" t="s">
        <v>16</v>
      </c>
      <c r="C1214" s="11" t="s">
        <v>71</v>
      </c>
      <c r="D1214" s="11">
        <v>870.6</v>
      </c>
      <c r="E1214" s="11">
        <v>22</v>
      </c>
      <c r="F1214" s="11">
        <v>19153.2</v>
      </c>
      <c r="G1214" s="12">
        <v>45464</v>
      </c>
      <c r="H1214" s="12">
        <v>45367</v>
      </c>
      <c r="I1214" t="e">
        <f t="shared" si="18"/>
        <v>#NUM!</v>
      </c>
    </row>
    <row r="1215" spans="1:9" x14ac:dyDescent="0.3">
      <c r="A1215" s="11">
        <v>57648</v>
      </c>
      <c r="B1215" s="11" t="s">
        <v>19</v>
      </c>
      <c r="C1215" s="11" t="s">
        <v>50</v>
      </c>
      <c r="D1215" s="11">
        <v>468.95</v>
      </c>
      <c r="E1215" s="11">
        <v>46</v>
      </c>
      <c r="F1215" s="11">
        <v>21571.7</v>
      </c>
      <c r="G1215" s="12">
        <v>45364</v>
      </c>
      <c r="H1215" s="12">
        <v>44996</v>
      </c>
      <c r="I1215" t="e">
        <f t="shared" si="18"/>
        <v>#NUM!</v>
      </c>
    </row>
    <row r="1216" spans="1:9" x14ac:dyDescent="0.3">
      <c r="A1216" s="11">
        <v>76659</v>
      </c>
      <c r="B1216" s="11" t="s">
        <v>22</v>
      </c>
      <c r="C1216" s="11" t="s">
        <v>60</v>
      </c>
      <c r="D1216" s="11">
        <v>184.57</v>
      </c>
      <c r="E1216" s="11">
        <v>27</v>
      </c>
      <c r="F1216" s="11">
        <v>4983.3900000000003</v>
      </c>
      <c r="G1216" s="12">
        <v>45285</v>
      </c>
      <c r="H1216" s="12">
        <v>45371</v>
      </c>
      <c r="I1216">
        <f t="shared" si="18"/>
        <v>1</v>
      </c>
    </row>
    <row r="1217" spans="1:9" x14ac:dyDescent="0.3">
      <c r="A1217" s="11">
        <v>88003</v>
      </c>
      <c r="B1217" s="11" t="s">
        <v>11</v>
      </c>
      <c r="C1217" s="11" t="s">
        <v>42</v>
      </c>
      <c r="D1217" s="11">
        <v>112.52</v>
      </c>
      <c r="E1217" s="11">
        <v>18</v>
      </c>
      <c r="F1217" s="11">
        <v>2025.36</v>
      </c>
      <c r="G1217" s="12">
        <v>45090</v>
      </c>
      <c r="H1217" s="12">
        <v>45336</v>
      </c>
      <c r="I1217">
        <f t="shared" si="18"/>
        <v>1</v>
      </c>
    </row>
    <row r="1218" spans="1:9" x14ac:dyDescent="0.3">
      <c r="A1218" s="11">
        <v>50777</v>
      </c>
      <c r="B1218" s="11" t="s">
        <v>15</v>
      </c>
      <c r="C1218" s="11" t="s">
        <v>60</v>
      </c>
      <c r="D1218" s="11">
        <v>184.57</v>
      </c>
      <c r="E1218" s="11">
        <v>37</v>
      </c>
      <c r="F1218" s="11">
        <v>6829.09</v>
      </c>
      <c r="G1218" s="12">
        <v>45540</v>
      </c>
      <c r="H1218" s="12">
        <v>45587</v>
      </c>
      <c r="I1218">
        <f t="shared" si="18"/>
        <v>1</v>
      </c>
    </row>
    <row r="1219" spans="1:9" x14ac:dyDescent="0.3">
      <c r="A1219" s="11">
        <v>93272</v>
      </c>
      <c r="B1219" s="11" t="s">
        <v>22</v>
      </c>
      <c r="C1219" s="11" t="s">
        <v>33</v>
      </c>
      <c r="D1219" s="11">
        <v>622.16</v>
      </c>
      <c r="E1219" s="11">
        <v>15</v>
      </c>
      <c r="F1219" s="11">
        <v>9332.4</v>
      </c>
      <c r="G1219" s="12">
        <v>45433</v>
      </c>
      <c r="H1219" s="12">
        <v>45244</v>
      </c>
      <c r="I1219" t="e">
        <f t="shared" ref="I1219:I1282" si="19">IF(DATEDIF(G1219,H1219,"d") &gt; 15,1,0)</f>
        <v>#NUM!</v>
      </c>
    </row>
    <row r="1220" spans="1:9" x14ac:dyDescent="0.3">
      <c r="A1220" s="11">
        <v>26954</v>
      </c>
      <c r="B1220" s="11" t="s">
        <v>14</v>
      </c>
      <c r="C1220" s="11" t="s">
        <v>35</v>
      </c>
      <c r="D1220" s="11">
        <v>101.12</v>
      </c>
      <c r="E1220" s="11">
        <v>44</v>
      </c>
      <c r="F1220" s="11">
        <v>4449.28</v>
      </c>
      <c r="G1220" s="12">
        <v>45068</v>
      </c>
      <c r="H1220" s="12">
        <v>45485</v>
      </c>
      <c r="I1220">
        <f t="shared" si="19"/>
        <v>1</v>
      </c>
    </row>
    <row r="1221" spans="1:9" x14ac:dyDescent="0.3">
      <c r="A1221" s="11">
        <v>74521</v>
      </c>
      <c r="B1221" s="11" t="s">
        <v>15</v>
      </c>
      <c r="C1221" s="11" t="s">
        <v>57</v>
      </c>
      <c r="D1221" s="11">
        <v>404.9</v>
      </c>
      <c r="E1221" s="11">
        <v>16</v>
      </c>
      <c r="F1221" s="11">
        <v>6478.4</v>
      </c>
      <c r="G1221" s="12">
        <v>45212</v>
      </c>
      <c r="H1221" s="12">
        <v>45148</v>
      </c>
      <c r="I1221" t="e">
        <f t="shared" si="19"/>
        <v>#NUM!</v>
      </c>
    </row>
    <row r="1222" spans="1:9" x14ac:dyDescent="0.3">
      <c r="A1222" s="11">
        <v>46034</v>
      </c>
      <c r="B1222" s="11" t="s">
        <v>14</v>
      </c>
      <c r="C1222" s="11" t="s">
        <v>53</v>
      </c>
      <c r="D1222" s="11">
        <v>972.24</v>
      </c>
      <c r="E1222" s="11">
        <v>22</v>
      </c>
      <c r="F1222" s="11">
        <v>21389.279999999999</v>
      </c>
      <c r="G1222" s="12">
        <v>45306</v>
      </c>
      <c r="H1222" s="12">
        <v>45176</v>
      </c>
      <c r="I1222" t="e">
        <f t="shared" si="19"/>
        <v>#NUM!</v>
      </c>
    </row>
    <row r="1223" spans="1:9" x14ac:dyDescent="0.3">
      <c r="A1223" s="11">
        <v>24219</v>
      </c>
      <c r="B1223" s="11" t="s">
        <v>24</v>
      </c>
      <c r="C1223" s="11" t="s">
        <v>62</v>
      </c>
      <c r="D1223" s="11">
        <v>474.55</v>
      </c>
      <c r="E1223" s="11">
        <v>24</v>
      </c>
      <c r="F1223" s="11">
        <v>11389.2</v>
      </c>
      <c r="G1223" s="12">
        <v>45640</v>
      </c>
      <c r="H1223" s="12">
        <v>45308</v>
      </c>
      <c r="I1223" t="e">
        <f t="shared" si="19"/>
        <v>#NUM!</v>
      </c>
    </row>
    <row r="1224" spans="1:9" x14ac:dyDescent="0.3">
      <c r="A1224" s="11">
        <v>15107</v>
      </c>
      <c r="B1224" s="11" t="s">
        <v>20</v>
      </c>
      <c r="C1224" s="11" t="s">
        <v>62</v>
      </c>
      <c r="D1224" s="11">
        <v>474.55</v>
      </c>
      <c r="E1224" s="11">
        <v>43</v>
      </c>
      <c r="F1224" s="11">
        <v>20405.650000000001</v>
      </c>
      <c r="G1224" s="12">
        <v>45228</v>
      </c>
      <c r="H1224" s="12">
        <v>45150</v>
      </c>
      <c r="I1224" t="e">
        <f t="shared" si="19"/>
        <v>#NUM!</v>
      </c>
    </row>
    <row r="1225" spans="1:9" x14ac:dyDescent="0.3">
      <c r="A1225" s="11">
        <v>78123</v>
      </c>
      <c r="B1225" s="11" t="s">
        <v>10</v>
      </c>
      <c r="C1225" s="11" t="s">
        <v>42</v>
      </c>
      <c r="D1225" s="11">
        <v>112.52</v>
      </c>
      <c r="E1225" s="11">
        <v>40</v>
      </c>
      <c r="F1225" s="11">
        <v>4500.8</v>
      </c>
      <c r="G1225" s="12">
        <v>45295</v>
      </c>
      <c r="H1225" s="12">
        <v>45579</v>
      </c>
      <c r="I1225">
        <f t="shared" si="19"/>
        <v>1</v>
      </c>
    </row>
    <row r="1226" spans="1:9" x14ac:dyDescent="0.3">
      <c r="A1226" s="11">
        <v>52852</v>
      </c>
      <c r="B1226" s="11" t="s">
        <v>23</v>
      </c>
      <c r="C1226" s="11" t="s">
        <v>72</v>
      </c>
      <c r="D1226" s="11">
        <v>913.18</v>
      </c>
      <c r="E1226" s="11">
        <v>25</v>
      </c>
      <c r="F1226" s="11">
        <v>22829.5</v>
      </c>
      <c r="G1226" s="12">
        <v>45152</v>
      </c>
      <c r="H1226" s="12">
        <v>45625</v>
      </c>
      <c r="I1226">
        <f t="shared" si="19"/>
        <v>1</v>
      </c>
    </row>
    <row r="1227" spans="1:9" x14ac:dyDescent="0.3">
      <c r="A1227" s="11">
        <v>34286</v>
      </c>
      <c r="B1227" s="11" t="s">
        <v>11</v>
      </c>
      <c r="C1227" s="11" t="s">
        <v>44</v>
      </c>
      <c r="D1227" s="11">
        <v>654.4</v>
      </c>
      <c r="E1227" s="11">
        <v>11</v>
      </c>
      <c r="F1227" s="11">
        <v>7198.4</v>
      </c>
      <c r="G1227" s="12">
        <v>45642</v>
      </c>
      <c r="H1227" s="12">
        <v>45351</v>
      </c>
      <c r="I1227" t="e">
        <f t="shared" si="19"/>
        <v>#NUM!</v>
      </c>
    </row>
    <row r="1228" spans="1:9" x14ac:dyDescent="0.3">
      <c r="A1228" s="11">
        <v>87325</v>
      </c>
      <c r="B1228" s="11" t="s">
        <v>15</v>
      </c>
      <c r="C1228" s="11" t="s">
        <v>70</v>
      </c>
      <c r="D1228" s="11">
        <v>430.1</v>
      </c>
      <c r="E1228" s="11">
        <v>43</v>
      </c>
      <c r="F1228" s="11">
        <v>18494.3</v>
      </c>
      <c r="G1228" s="12">
        <v>44950</v>
      </c>
      <c r="H1228" s="12">
        <v>45100</v>
      </c>
      <c r="I1228">
        <f t="shared" si="19"/>
        <v>1</v>
      </c>
    </row>
    <row r="1229" spans="1:9" x14ac:dyDescent="0.3">
      <c r="A1229" s="11">
        <v>63553</v>
      </c>
      <c r="B1229" s="11" t="s">
        <v>12</v>
      </c>
      <c r="C1229" s="11" t="s">
        <v>52</v>
      </c>
      <c r="D1229" s="11">
        <v>323.73</v>
      </c>
      <c r="E1229" s="11">
        <v>50</v>
      </c>
      <c r="F1229" s="11">
        <v>16186.5</v>
      </c>
      <c r="G1229" s="12">
        <v>45139</v>
      </c>
      <c r="H1229" s="12">
        <v>45115</v>
      </c>
      <c r="I1229" t="e">
        <f t="shared" si="19"/>
        <v>#NUM!</v>
      </c>
    </row>
    <row r="1230" spans="1:9" x14ac:dyDescent="0.3">
      <c r="A1230" s="11">
        <v>11255</v>
      </c>
      <c r="B1230" s="11" t="s">
        <v>18</v>
      </c>
      <c r="C1230" s="11" t="s">
        <v>73</v>
      </c>
      <c r="D1230" s="11">
        <v>890.84</v>
      </c>
      <c r="E1230" s="11">
        <v>34</v>
      </c>
      <c r="F1230" s="11">
        <v>30288.560000000001</v>
      </c>
      <c r="G1230" s="12">
        <v>45182</v>
      </c>
      <c r="H1230" s="12">
        <v>45383</v>
      </c>
      <c r="I1230">
        <f t="shared" si="19"/>
        <v>1</v>
      </c>
    </row>
    <row r="1231" spans="1:9" x14ac:dyDescent="0.3">
      <c r="A1231" s="11">
        <v>42918</v>
      </c>
      <c r="B1231" s="11" t="s">
        <v>14</v>
      </c>
      <c r="C1231" s="11" t="s">
        <v>54</v>
      </c>
      <c r="D1231" s="11">
        <v>730.09</v>
      </c>
      <c r="E1231" s="11">
        <v>44</v>
      </c>
      <c r="F1231" s="11">
        <v>32123.96</v>
      </c>
      <c r="G1231" s="12">
        <v>45124</v>
      </c>
      <c r="H1231" s="12">
        <v>45235</v>
      </c>
      <c r="I1231">
        <f t="shared" si="19"/>
        <v>1</v>
      </c>
    </row>
    <row r="1232" spans="1:9" x14ac:dyDescent="0.3">
      <c r="A1232" s="11">
        <v>16066</v>
      </c>
      <c r="B1232" s="11" t="s">
        <v>17</v>
      </c>
      <c r="C1232" s="11" t="s">
        <v>60</v>
      </c>
      <c r="D1232" s="11">
        <v>184.57</v>
      </c>
      <c r="E1232" s="11">
        <v>25</v>
      </c>
      <c r="F1232" s="11">
        <v>4614.25</v>
      </c>
      <c r="G1232" s="12">
        <v>45028</v>
      </c>
      <c r="H1232" s="12">
        <v>45113</v>
      </c>
      <c r="I1232">
        <f t="shared" si="19"/>
        <v>1</v>
      </c>
    </row>
    <row r="1233" spans="1:9" x14ac:dyDescent="0.3">
      <c r="A1233" s="11">
        <v>68354</v>
      </c>
      <c r="B1233" s="11" t="s">
        <v>13</v>
      </c>
      <c r="C1233" s="11" t="s">
        <v>75</v>
      </c>
      <c r="D1233" s="11">
        <v>325</v>
      </c>
      <c r="E1233" s="11">
        <v>27</v>
      </c>
      <c r="F1233" s="11">
        <v>8775</v>
      </c>
      <c r="G1233" s="12">
        <v>45055</v>
      </c>
      <c r="H1233" s="12">
        <v>45004</v>
      </c>
      <c r="I1233" t="e">
        <f t="shared" si="19"/>
        <v>#NUM!</v>
      </c>
    </row>
    <row r="1234" spans="1:9" x14ac:dyDescent="0.3">
      <c r="A1234" s="11">
        <v>48396</v>
      </c>
      <c r="B1234" s="11" t="s">
        <v>21</v>
      </c>
      <c r="C1234" s="11" t="s">
        <v>31</v>
      </c>
      <c r="D1234" s="11">
        <v>449.74</v>
      </c>
      <c r="E1234" s="11">
        <v>28</v>
      </c>
      <c r="F1234" s="11">
        <v>12592.72</v>
      </c>
      <c r="G1234" s="12">
        <v>45014</v>
      </c>
      <c r="H1234" s="12">
        <v>45570</v>
      </c>
      <c r="I1234">
        <f t="shared" si="19"/>
        <v>1</v>
      </c>
    </row>
    <row r="1235" spans="1:9" x14ac:dyDescent="0.3">
      <c r="A1235" s="11">
        <v>86748</v>
      </c>
      <c r="B1235" s="11" t="s">
        <v>8</v>
      </c>
      <c r="C1235" s="11" t="s">
        <v>57</v>
      </c>
      <c r="D1235" s="11">
        <v>404.9</v>
      </c>
      <c r="E1235" s="11">
        <v>11</v>
      </c>
      <c r="F1235" s="11">
        <v>4453.8999999999996</v>
      </c>
      <c r="G1235" s="12">
        <v>45273</v>
      </c>
      <c r="H1235" s="12">
        <v>44970</v>
      </c>
      <c r="I1235" t="e">
        <f t="shared" si="19"/>
        <v>#NUM!</v>
      </c>
    </row>
    <row r="1236" spans="1:9" x14ac:dyDescent="0.3">
      <c r="A1236" s="11">
        <v>13982</v>
      </c>
      <c r="B1236" s="11" t="s">
        <v>16</v>
      </c>
      <c r="C1236" s="11" t="s">
        <v>51</v>
      </c>
      <c r="D1236" s="11">
        <v>533.15</v>
      </c>
      <c r="E1236" s="11">
        <v>18</v>
      </c>
      <c r="F1236" s="11">
        <v>9596.7000000000007</v>
      </c>
      <c r="G1236" s="12">
        <v>45081</v>
      </c>
      <c r="H1236" s="12">
        <v>45055</v>
      </c>
      <c r="I1236" t="e">
        <f t="shared" si="19"/>
        <v>#NUM!</v>
      </c>
    </row>
    <row r="1237" spans="1:9" x14ac:dyDescent="0.3">
      <c r="A1237" s="11">
        <v>22617</v>
      </c>
      <c r="B1237" s="11" t="s">
        <v>14</v>
      </c>
      <c r="C1237" s="11" t="s">
        <v>48</v>
      </c>
      <c r="D1237" s="11">
        <v>93.68</v>
      </c>
      <c r="E1237" s="11">
        <v>43</v>
      </c>
      <c r="F1237" s="11">
        <v>4028.24</v>
      </c>
      <c r="G1237" s="12">
        <v>44956</v>
      </c>
      <c r="H1237" s="12">
        <v>45452</v>
      </c>
      <c r="I1237">
        <f t="shared" si="19"/>
        <v>1</v>
      </c>
    </row>
    <row r="1238" spans="1:9" x14ac:dyDescent="0.3">
      <c r="A1238" s="11">
        <v>38602</v>
      </c>
      <c r="B1238" s="11" t="s">
        <v>12</v>
      </c>
      <c r="C1238" s="11" t="s">
        <v>77</v>
      </c>
      <c r="D1238" s="11">
        <v>761.92</v>
      </c>
      <c r="E1238" s="11">
        <v>21</v>
      </c>
      <c r="F1238" s="11">
        <v>16000.32</v>
      </c>
      <c r="G1238" s="12">
        <v>45478</v>
      </c>
      <c r="H1238" s="12">
        <v>45134</v>
      </c>
      <c r="I1238" t="e">
        <f t="shared" si="19"/>
        <v>#NUM!</v>
      </c>
    </row>
    <row r="1239" spans="1:9" x14ac:dyDescent="0.3">
      <c r="A1239" s="11">
        <v>28193</v>
      </c>
      <c r="B1239" s="11" t="s">
        <v>12</v>
      </c>
      <c r="C1239" s="11" t="s">
        <v>36</v>
      </c>
      <c r="D1239" s="11">
        <v>596.97</v>
      </c>
      <c r="E1239" s="11">
        <v>45</v>
      </c>
      <c r="F1239" s="11">
        <v>26863.65</v>
      </c>
      <c r="G1239" s="12">
        <v>45326</v>
      </c>
      <c r="H1239" s="12">
        <v>45188</v>
      </c>
      <c r="I1239" t="e">
        <f t="shared" si="19"/>
        <v>#NUM!</v>
      </c>
    </row>
    <row r="1240" spans="1:9" x14ac:dyDescent="0.3">
      <c r="A1240" s="11">
        <v>38374</v>
      </c>
      <c r="B1240" s="11" t="s">
        <v>14</v>
      </c>
      <c r="C1240" s="11" t="s">
        <v>57</v>
      </c>
      <c r="D1240" s="11">
        <v>404.9</v>
      </c>
      <c r="E1240" s="11">
        <v>20</v>
      </c>
      <c r="F1240" s="11">
        <v>8098</v>
      </c>
      <c r="G1240" s="12">
        <v>45366</v>
      </c>
      <c r="H1240" s="12">
        <v>44951</v>
      </c>
      <c r="I1240" t="e">
        <f t="shared" si="19"/>
        <v>#NUM!</v>
      </c>
    </row>
    <row r="1241" spans="1:9" x14ac:dyDescent="0.3">
      <c r="A1241" s="11">
        <v>95739</v>
      </c>
      <c r="B1241" s="11" t="s">
        <v>23</v>
      </c>
      <c r="C1241" s="11" t="s">
        <v>51</v>
      </c>
      <c r="D1241" s="11">
        <v>533.15</v>
      </c>
      <c r="E1241" s="11">
        <v>4</v>
      </c>
      <c r="F1241" s="11">
        <v>2132.6</v>
      </c>
      <c r="G1241" s="12">
        <v>45254</v>
      </c>
      <c r="H1241" s="12">
        <v>45348</v>
      </c>
      <c r="I1241">
        <f t="shared" si="19"/>
        <v>1</v>
      </c>
    </row>
    <row r="1242" spans="1:9" x14ac:dyDescent="0.3">
      <c r="A1242" s="11">
        <v>53935</v>
      </c>
      <c r="B1242" s="11" t="s">
        <v>9</v>
      </c>
      <c r="C1242" s="11" t="s">
        <v>75</v>
      </c>
      <c r="D1242" s="11">
        <v>325</v>
      </c>
      <c r="E1242" s="11">
        <v>26</v>
      </c>
      <c r="F1242" s="11">
        <v>8450</v>
      </c>
      <c r="G1242" s="12">
        <v>45613</v>
      </c>
      <c r="H1242" s="12">
        <v>45565</v>
      </c>
      <c r="I1242" t="e">
        <f t="shared" si="19"/>
        <v>#NUM!</v>
      </c>
    </row>
    <row r="1243" spans="1:9" x14ac:dyDescent="0.3">
      <c r="A1243" s="11">
        <v>58696</v>
      </c>
      <c r="B1243" s="11" t="s">
        <v>25</v>
      </c>
      <c r="C1243" s="11" t="s">
        <v>70</v>
      </c>
      <c r="D1243" s="11">
        <v>430.1</v>
      </c>
      <c r="E1243" s="11">
        <v>46</v>
      </c>
      <c r="F1243" s="11">
        <v>19784.599999999999</v>
      </c>
      <c r="G1243" s="12">
        <v>45421</v>
      </c>
      <c r="H1243" s="12">
        <v>45408</v>
      </c>
      <c r="I1243" t="e">
        <f t="shared" si="19"/>
        <v>#NUM!</v>
      </c>
    </row>
    <row r="1244" spans="1:9" x14ac:dyDescent="0.3">
      <c r="A1244" s="11">
        <v>68727</v>
      </c>
      <c r="B1244" s="11" t="s">
        <v>20</v>
      </c>
      <c r="C1244" s="11" t="s">
        <v>28</v>
      </c>
      <c r="D1244" s="11">
        <v>855.99</v>
      </c>
      <c r="E1244" s="11">
        <v>19</v>
      </c>
      <c r="F1244" s="11">
        <v>16263.81</v>
      </c>
      <c r="G1244" s="12">
        <v>45072</v>
      </c>
      <c r="H1244" s="12">
        <v>45339</v>
      </c>
      <c r="I1244">
        <f t="shared" si="19"/>
        <v>1</v>
      </c>
    </row>
    <row r="1245" spans="1:9" x14ac:dyDescent="0.3">
      <c r="A1245" s="11">
        <v>40671</v>
      </c>
      <c r="B1245" s="11" t="s">
        <v>13</v>
      </c>
      <c r="C1245" s="11" t="s">
        <v>52</v>
      </c>
      <c r="D1245" s="11">
        <v>323.73</v>
      </c>
      <c r="E1245" s="11">
        <v>31</v>
      </c>
      <c r="F1245" s="11">
        <v>10035.629999999999</v>
      </c>
      <c r="G1245" s="12">
        <v>45172</v>
      </c>
      <c r="H1245" s="12">
        <v>45257</v>
      </c>
      <c r="I1245">
        <f t="shared" si="19"/>
        <v>1</v>
      </c>
    </row>
    <row r="1246" spans="1:9" x14ac:dyDescent="0.3">
      <c r="A1246" s="11">
        <v>97270</v>
      </c>
      <c r="B1246" s="11" t="s">
        <v>19</v>
      </c>
      <c r="C1246" s="11" t="s">
        <v>41</v>
      </c>
      <c r="D1246" s="11">
        <v>110.41</v>
      </c>
      <c r="E1246" s="11">
        <v>35</v>
      </c>
      <c r="F1246" s="11">
        <v>3864.35</v>
      </c>
      <c r="G1246" s="12">
        <v>45585</v>
      </c>
      <c r="H1246" s="12">
        <v>45386</v>
      </c>
      <c r="I1246" t="e">
        <f t="shared" si="19"/>
        <v>#NUM!</v>
      </c>
    </row>
    <row r="1247" spans="1:9" x14ac:dyDescent="0.3">
      <c r="A1247" s="11">
        <v>68991</v>
      </c>
      <c r="B1247" s="11" t="s">
        <v>25</v>
      </c>
      <c r="C1247" s="11" t="s">
        <v>75</v>
      </c>
      <c r="D1247" s="11">
        <v>325</v>
      </c>
      <c r="E1247" s="11">
        <v>11</v>
      </c>
      <c r="F1247" s="11">
        <v>3575</v>
      </c>
      <c r="G1247" s="12">
        <v>45061</v>
      </c>
      <c r="H1247" s="12">
        <v>45083</v>
      </c>
      <c r="I1247">
        <f t="shared" si="19"/>
        <v>1</v>
      </c>
    </row>
    <row r="1248" spans="1:9" x14ac:dyDescent="0.3">
      <c r="A1248" s="11">
        <v>89976</v>
      </c>
      <c r="B1248" s="11" t="s">
        <v>14</v>
      </c>
      <c r="C1248" s="11" t="s">
        <v>49</v>
      </c>
      <c r="D1248" s="11">
        <v>534.77</v>
      </c>
      <c r="E1248" s="11">
        <v>34</v>
      </c>
      <c r="F1248" s="11">
        <v>18182.18</v>
      </c>
      <c r="G1248" s="12">
        <v>45597</v>
      </c>
      <c r="H1248" s="12">
        <v>45501</v>
      </c>
      <c r="I1248" t="e">
        <f t="shared" si="19"/>
        <v>#NUM!</v>
      </c>
    </row>
    <row r="1249" spans="1:9" x14ac:dyDescent="0.3">
      <c r="A1249" s="11">
        <v>18684</v>
      </c>
      <c r="B1249" s="11" t="s">
        <v>18</v>
      </c>
      <c r="C1249" s="11" t="s">
        <v>42</v>
      </c>
      <c r="D1249" s="11">
        <v>112.52</v>
      </c>
      <c r="E1249" s="11">
        <v>11</v>
      </c>
      <c r="F1249" s="11">
        <v>1237.72</v>
      </c>
      <c r="G1249" s="12">
        <v>44958</v>
      </c>
      <c r="H1249" s="12">
        <v>45393</v>
      </c>
      <c r="I1249">
        <f t="shared" si="19"/>
        <v>1</v>
      </c>
    </row>
    <row r="1250" spans="1:9" x14ac:dyDescent="0.3">
      <c r="A1250" s="11">
        <v>51280</v>
      </c>
      <c r="B1250" s="11" t="s">
        <v>25</v>
      </c>
      <c r="C1250" s="11" t="s">
        <v>28</v>
      </c>
      <c r="D1250" s="11">
        <v>855.99</v>
      </c>
      <c r="E1250" s="11">
        <v>31</v>
      </c>
      <c r="F1250" s="11">
        <v>26535.69</v>
      </c>
      <c r="G1250" s="12">
        <v>45042</v>
      </c>
      <c r="H1250" s="12">
        <v>45486</v>
      </c>
      <c r="I1250">
        <f t="shared" si="19"/>
        <v>1</v>
      </c>
    </row>
    <row r="1251" spans="1:9" x14ac:dyDescent="0.3">
      <c r="A1251" s="11">
        <v>57402</v>
      </c>
      <c r="B1251" s="11" t="s">
        <v>11</v>
      </c>
      <c r="C1251" s="11" t="s">
        <v>32</v>
      </c>
      <c r="D1251" s="11">
        <v>546.64</v>
      </c>
      <c r="E1251" s="11">
        <v>12</v>
      </c>
      <c r="F1251" s="11">
        <v>6559.68</v>
      </c>
      <c r="G1251" s="12">
        <v>45129</v>
      </c>
      <c r="H1251" s="12">
        <v>45650</v>
      </c>
      <c r="I1251">
        <f t="shared" si="19"/>
        <v>1</v>
      </c>
    </row>
    <row r="1252" spans="1:9" x14ac:dyDescent="0.3">
      <c r="A1252" s="11">
        <v>95936</v>
      </c>
      <c r="B1252" s="11" t="s">
        <v>8</v>
      </c>
      <c r="C1252" s="11" t="s">
        <v>73</v>
      </c>
      <c r="D1252" s="11">
        <v>890.84</v>
      </c>
      <c r="E1252" s="11">
        <v>8</v>
      </c>
      <c r="F1252" s="11">
        <v>7126.72</v>
      </c>
      <c r="G1252" s="12">
        <v>45643</v>
      </c>
      <c r="H1252" s="12">
        <v>45195</v>
      </c>
      <c r="I1252" t="e">
        <f t="shared" si="19"/>
        <v>#NUM!</v>
      </c>
    </row>
    <row r="1253" spans="1:9" x14ac:dyDescent="0.3">
      <c r="A1253" s="11">
        <v>26824</v>
      </c>
      <c r="B1253" s="11" t="s">
        <v>15</v>
      </c>
      <c r="C1253" s="11" t="s">
        <v>38</v>
      </c>
      <c r="D1253" s="11">
        <v>233.83</v>
      </c>
      <c r="E1253" s="11">
        <v>41</v>
      </c>
      <c r="F1253" s="11">
        <v>9587.0300000000007</v>
      </c>
      <c r="G1253" s="12">
        <v>45444</v>
      </c>
      <c r="H1253" s="12">
        <v>45237</v>
      </c>
      <c r="I1253" t="e">
        <f t="shared" si="19"/>
        <v>#NUM!</v>
      </c>
    </row>
    <row r="1254" spans="1:9" x14ac:dyDescent="0.3">
      <c r="A1254" s="11">
        <v>89583</v>
      </c>
      <c r="B1254" s="11" t="s">
        <v>10</v>
      </c>
      <c r="C1254" s="11" t="s">
        <v>45</v>
      </c>
      <c r="D1254" s="11">
        <v>366.3</v>
      </c>
      <c r="E1254" s="11">
        <v>23</v>
      </c>
      <c r="F1254" s="11">
        <v>8424.9</v>
      </c>
      <c r="G1254" s="12">
        <v>45121</v>
      </c>
      <c r="H1254" s="12">
        <v>45643</v>
      </c>
      <c r="I1254">
        <f t="shared" si="19"/>
        <v>1</v>
      </c>
    </row>
    <row r="1255" spans="1:9" x14ac:dyDescent="0.3">
      <c r="A1255" s="11">
        <v>19069</v>
      </c>
      <c r="B1255" s="11" t="s">
        <v>26</v>
      </c>
      <c r="C1255" s="11" t="s">
        <v>50</v>
      </c>
      <c r="D1255" s="11">
        <v>468.95</v>
      </c>
      <c r="E1255" s="11">
        <v>16</v>
      </c>
      <c r="F1255" s="11">
        <v>7503.2</v>
      </c>
      <c r="G1255" s="12">
        <v>45009</v>
      </c>
      <c r="H1255" s="12">
        <v>45021</v>
      </c>
      <c r="I1255">
        <f t="shared" si="19"/>
        <v>0</v>
      </c>
    </row>
    <row r="1256" spans="1:9" x14ac:dyDescent="0.3">
      <c r="A1256" s="11">
        <v>46443</v>
      </c>
      <c r="B1256" s="11" t="s">
        <v>22</v>
      </c>
      <c r="C1256" s="11" t="s">
        <v>61</v>
      </c>
      <c r="D1256" s="11">
        <v>705.68</v>
      </c>
      <c r="E1256" s="11">
        <v>21</v>
      </c>
      <c r="F1256" s="11">
        <v>14819.28</v>
      </c>
      <c r="G1256" s="12">
        <v>45101</v>
      </c>
      <c r="H1256" s="12">
        <v>45619</v>
      </c>
      <c r="I1256">
        <f t="shared" si="19"/>
        <v>1</v>
      </c>
    </row>
    <row r="1257" spans="1:9" x14ac:dyDescent="0.3">
      <c r="A1257" s="11">
        <v>53928</v>
      </c>
      <c r="B1257" s="11" t="s">
        <v>18</v>
      </c>
      <c r="C1257" s="11" t="s">
        <v>62</v>
      </c>
      <c r="D1257" s="11">
        <v>474.55</v>
      </c>
      <c r="E1257" s="11">
        <v>4</v>
      </c>
      <c r="F1257" s="11">
        <v>1898.2</v>
      </c>
      <c r="G1257" s="12">
        <v>45609</v>
      </c>
      <c r="H1257" s="12">
        <v>45205</v>
      </c>
      <c r="I1257" t="e">
        <f t="shared" si="19"/>
        <v>#NUM!</v>
      </c>
    </row>
    <row r="1258" spans="1:9" x14ac:dyDescent="0.3">
      <c r="A1258" s="11">
        <v>52554</v>
      </c>
      <c r="B1258" s="11" t="s">
        <v>13</v>
      </c>
      <c r="C1258" s="11" t="s">
        <v>72</v>
      </c>
      <c r="D1258" s="11">
        <v>913.18</v>
      </c>
      <c r="E1258" s="11">
        <v>1</v>
      </c>
      <c r="F1258" s="11">
        <v>913.18</v>
      </c>
      <c r="G1258" s="12">
        <v>45167</v>
      </c>
      <c r="H1258" s="12">
        <v>44959</v>
      </c>
      <c r="I1258" t="e">
        <f t="shared" si="19"/>
        <v>#NUM!</v>
      </c>
    </row>
    <row r="1259" spans="1:9" x14ac:dyDescent="0.3">
      <c r="A1259" s="11">
        <v>56943</v>
      </c>
      <c r="B1259" s="11" t="s">
        <v>21</v>
      </c>
      <c r="C1259" s="11" t="s">
        <v>30</v>
      </c>
      <c r="D1259" s="11">
        <v>68.05</v>
      </c>
      <c r="E1259" s="11">
        <v>46</v>
      </c>
      <c r="F1259" s="11">
        <v>3130.3</v>
      </c>
      <c r="G1259" s="12">
        <v>45242</v>
      </c>
      <c r="H1259" s="12">
        <v>45484</v>
      </c>
      <c r="I1259">
        <f t="shared" si="19"/>
        <v>1</v>
      </c>
    </row>
    <row r="1260" spans="1:9" x14ac:dyDescent="0.3">
      <c r="A1260" s="11">
        <v>70519</v>
      </c>
      <c r="B1260" s="11" t="s">
        <v>21</v>
      </c>
      <c r="C1260" s="11" t="s">
        <v>62</v>
      </c>
      <c r="D1260" s="11">
        <v>474.55</v>
      </c>
      <c r="E1260" s="11">
        <v>28</v>
      </c>
      <c r="F1260" s="11">
        <v>13287.4</v>
      </c>
      <c r="G1260" s="12">
        <v>45386</v>
      </c>
      <c r="H1260" s="12">
        <v>45554</v>
      </c>
      <c r="I1260">
        <f t="shared" si="19"/>
        <v>1</v>
      </c>
    </row>
    <row r="1261" spans="1:9" x14ac:dyDescent="0.3">
      <c r="A1261" s="11">
        <v>37610</v>
      </c>
      <c r="B1261" s="11" t="s">
        <v>20</v>
      </c>
      <c r="C1261" s="11" t="s">
        <v>67</v>
      </c>
      <c r="D1261" s="11">
        <v>402.36</v>
      </c>
      <c r="E1261" s="11">
        <v>24</v>
      </c>
      <c r="F1261" s="11">
        <v>9656.64</v>
      </c>
      <c r="G1261" s="12">
        <v>45483</v>
      </c>
      <c r="H1261" s="12">
        <v>45497</v>
      </c>
      <c r="I1261">
        <f t="shared" si="19"/>
        <v>0</v>
      </c>
    </row>
    <row r="1262" spans="1:9" x14ac:dyDescent="0.3">
      <c r="A1262" s="11">
        <v>30862</v>
      </c>
      <c r="B1262" s="11" t="s">
        <v>11</v>
      </c>
      <c r="C1262" s="11" t="s">
        <v>51</v>
      </c>
      <c r="D1262" s="11">
        <v>533.15</v>
      </c>
      <c r="E1262" s="11">
        <v>40</v>
      </c>
      <c r="F1262" s="11">
        <v>21326</v>
      </c>
      <c r="G1262" s="12">
        <v>45206</v>
      </c>
      <c r="H1262" s="12">
        <v>45188</v>
      </c>
      <c r="I1262" t="e">
        <f t="shared" si="19"/>
        <v>#NUM!</v>
      </c>
    </row>
    <row r="1263" spans="1:9" x14ac:dyDescent="0.3">
      <c r="A1263" s="11">
        <v>20766</v>
      </c>
      <c r="B1263" s="11" t="s">
        <v>8</v>
      </c>
      <c r="C1263" s="11" t="s">
        <v>62</v>
      </c>
      <c r="D1263" s="11">
        <v>474.55</v>
      </c>
      <c r="E1263" s="11">
        <v>21</v>
      </c>
      <c r="F1263" s="11">
        <v>9965.5499999999993</v>
      </c>
      <c r="G1263" s="12">
        <v>45056</v>
      </c>
      <c r="H1263" s="12">
        <v>45203</v>
      </c>
      <c r="I1263">
        <f t="shared" si="19"/>
        <v>1</v>
      </c>
    </row>
    <row r="1264" spans="1:9" x14ac:dyDescent="0.3">
      <c r="A1264" s="11">
        <v>89579</v>
      </c>
      <c r="B1264" s="11" t="s">
        <v>20</v>
      </c>
      <c r="C1264" s="11" t="s">
        <v>65</v>
      </c>
      <c r="D1264" s="11">
        <v>753.12</v>
      </c>
      <c r="E1264" s="11">
        <v>34</v>
      </c>
      <c r="F1264" s="11">
        <v>25606.080000000002</v>
      </c>
      <c r="G1264" s="12">
        <v>45570</v>
      </c>
      <c r="H1264" s="12">
        <v>45386</v>
      </c>
      <c r="I1264" t="e">
        <f t="shared" si="19"/>
        <v>#NUM!</v>
      </c>
    </row>
    <row r="1265" spans="1:9" x14ac:dyDescent="0.3">
      <c r="A1265" s="11">
        <v>34110</v>
      </c>
      <c r="B1265" s="11" t="s">
        <v>19</v>
      </c>
      <c r="C1265" s="11" t="s">
        <v>35</v>
      </c>
      <c r="D1265" s="11">
        <v>101.12</v>
      </c>
      <c r="E1265" s="11">
        <v>48</v>
      </c>
      <c r="F1265" s="11">
        <v>4853.76</v>
      </c>
      <c r="G1265" s="12">
        <v>45486</v>
      </c>
      <c r="H1265" s="12">
        <v>44949</v>
      </c>
      <c r="I1265" t="e">
        <f t="shared" si="19"/>
        <v>#NUM!</v>
      </c>
    </row>
    <row r="1266" spans="1:9" x14ac:dyDescent="0.3">
      <c r="A1266" s="11">
        <v>67250</v>
      </c>
      <c r="B1266" s="11" t="s">
        <v>24</v>
      </c>
      <c r="C1266" s="11" t="s">
        <v>74</v>
      </c>
      <c r="D1266" s="11">
        <v>346.4</v>
      </c>
      <c r="E1266" s="11">
        <v>50</v>
      </c>
      <c r="F1266" s="11">
        <v>17320</v>
      </c>
      <c r="G1266" s="12">
        <v>45643</v>
      </c>
      <c r="H1266" s="12">
        <v>45254</v>
      </c>
      <c r="I1266" t="e">
        <f t="shared" si="19"/>
        <v>#NUM!</v>
      </c>
    </row>
    <row r="1267" spans="1:9" x14ac:dyDescent="0.3">
      <c r="A1267" s="11">
        <v>49726</v>
      </c>
      <c r="B1267" s="11" t="s">
        <v>9</v>
      </c>
      <c r="C1267" s="11" t="s">
        <v>64</v>
      </c>
      <c r="D1267" s="11">
        <v>796.51</v>
      </c>
      <c r="E1267" s="11">
        <v>11</v>
      </c>
      <c r="F1267" s="11">
        <v>8761.61</v>
      </c>
      <c r="G1267" s="12">
        <v>45273</v>
      </c>
      <c r="H1267" s="12">
        <v>45515</v>
      </c>
      <c r="I1267">
        <f t="shared" si="19"/>
        <v>1</v>
      </c>
    </row>
    <row r="1268" spans="1:9" x14ac:dyDescent="0.3">
      <c r="A1268" s="11">
        <v>72947</v>
      </c>
      <c r="B1268" s="11" t="s">
        <v>17</v>
      </c>
      <c r="C1268" s="11" t="s">
        <v>59</v>
      </c>
      <c r="D1268" s="11">
        <v>346.37</v>
      </c>
      <c r="E1268" s="11">
        <v>29</v>
      </c>
      <c r="F1268" s="11">
        <v>10044.73</v>
      </c>
      <c r="G1268" s="12">
        <v>45029</v>
      </c>
      <c r="H1268" s="12">
        <v>45487</v>
      </c>
      <c r="I1268">
        <f t="shared" si="19"/>
        <v>1</v>
      </c>
    </row>
    <row r="1269" spans="1:9" x14ac:dyDescent="0.3">
      <c r="A1269" s="11">
        <v>80063</v>
      </c>
      <c r="B1269" s="11" t="s">
        <v>16</v>
      </c>
      <c r="C1269" s="11" t="s">
        <v>51</v>
      </c>
      <c r="D1269" s="11">
        <v>533.15</v>
      </c>
      <c r="E1269" s="11">
        <v>47</v>
      </c>
      <c r="F1269" s="11">
        <v>25058.05</v>
      </c>
      <c r="G1269" s="12">
        <v>45505</v>
      </c>
      <c r="H1269" s="12">
        <v>44975</v>
      </c>
      <c r="I1269" t="e">
        <f t="shared" si="19"/>
        <v>#NUM!</v>
      </c>
    </row>
    <row r="1270" spans="1:9" x14ac:dyDescent="0.3">
      <c r="A1270" s="11">
        <v>72396</v>
      </c>
      <c r="B1270" s="11" t="s">
        <v>12</v>
      </c>
      <c r="C1270" s="11" t="s">
        <v>72</v>
      </c>
      <c r="D1270" s="11">
        <v>913.18</v>
      </c>
      <c r="E1270" s="11">
        <v>27</v>
      </c>
      <c r="F1270" s="11">
        <v>24655.86</v>
      </c>
      <c r="G1270" s="12">
        <v>44952</v>
      </c>
      <c r="H1270" s="12">
        <v>45468</v>
      </c>
      <c r="I1270">
        <f t="shared" si="19"/>
        <v>1</v>
      </c>
    </row>
    <row r="1271" spans="1:9" x14ac:dyDescent="0.3">
      <c r="A1271" s="11">
        <v>19042</v>
      </c>
      <c r="B1271" s="11" t="s">
        <v>11</v>
      </c>
      <c r="C1271" s="11" t="s">
        <v>67</v>
      </c>
      <c r="D1271" s="11">
        <v>402.36</v>
      </c>
      <c r="E1271" s="11">
        <v>27</v>
      </c>
      <c r="F1271" s="11">
        <v>10863.72</v>
      </c>
      <c r="G1271" s="12">
        <v>45194</v>
      </c>
      <c r="H1271" s="12">
        <v>45408</v>
      </c>
      <c r="I1271">
        <f t="shared" si="19"/>
        <v>1</v>
      </c>
    </row>
    <row r="1272" spans="1:9" x14ac:dyDescent="0.3">
      <c r="A1272" s="11">
        <v>60034</v>
      </c>
      <c r="B1272" s="11" t="s">
        <v>24</v>
      </c>
      <c r="C1272" s="11" t="s">
        <v>67</v>
      </c>
      <c r="D1272" s="11">
        <v>402.36</v>
      </c>
      <c r="E1272" s="11">
        <v>38</v>
      </c>
      <c r="F1272" s="11">
        <v>15289.68</v>
      </c>
      <c r="G1272" s="12">
        <v>45634</v>
      </c>
      <c r="H1272" s="12">
        <v>45623</v>
      </c>
      <c r="I1272" t="e">
        <f t="shared" si="19"/>
        <v>#NUM!</v>
      </c>
    </row>
    <row r="1273" spans="1:9" x14ac:dyDescent="0.3">
      <c r="A1273" s="11">
        <v>95912</v>
      </c>
      <c r="B1273" s="11" t="s">
        <v>17</v>
      </c>
      <c r="C1273" s="11" t="s">
        <v>43</v>
      </c>
      <c r="D1273" s="11">
        <v>608.37</v>
      </c>
      <c r="E1273" s="11">
        <v>3</v>
      </c>
      <c r="F1273" s="11">
        <v>1825.11</v>
      </c>
      <c r="G1273" s="12">
        <v>45189</v>
      </c>
      <c r="H1273" s="12">
        <v>44984</v>
      </c>
      <c r="I1273" t="e">
        <f t="shared" si="19"/>
        <v>#NUM!</v>
      </c>
    </row>
    <row r="1274" spans="1:9" x14ac:dyDescent="0.3">
      <c r="A1274" s="11">
        <v>88578</v>
      </c>
      <c r="B1274" s="11" t="s">
        <v>23</v>
      </c>
      <c r="C1274" s="11" t="s">
        <v>50</v>
      </c>
      <c r="D1274" s="11">
        <v>468.95</v>
      </c>
      <c r="E1274" s="11">
        <v>33</v>
      </c>
      <c r="F1274" s="11">
        <v>15475.35</v>
      </c>
      <c r="G1274" s="12">
        <v>45502</v>
      </c>
      <c r="H1274" s="12">
        <v>45647</v>
      </c>
      <c r="I1274">
        <f t="shared" si="19"/>
        <v>1</v>
      </c>
    </row>
    <row r="1275" spans="1:9" x14ac:dyDescent="0.3">
      <c r="A1275" s="11">
        <v>53942</v>
      </c>
      <c r="B1275" s="11" t="s">
        <v>18</v>
      </c>
      <c r="C1275" s="11" t="s">
        <v>70</v>
      </c>
      <c r="D1275" s="11">
        <v>430.1</v>
      </c>
      <c r="E1275" s="11">
        <v>15</v>
      </c>
      <c r="F1275" s="11">
        <v>6451.5</v>
      </c>
      <c r="G1275" s="12">
        <v>45218</v>
      </c>
      <c r="H1275" s="12">
        <v>45023</v>
      </c>
      <c r="I1275" t="e">
        <f t="shared" si="19"/>
        <v>#NUM!</v>
      </c>
    </row>
    <row r="1276" spans="1:9" x14ac:dyDescent="0.3">
      <c r="A1276" s="11">
        <v>87859</v>
      </c>
      <c r="B1276" s="11" t="s">
        <v>19</v>
      </c>
      <c r="C1276" s="11" t="s">
        <v>40</v>
      </c>
      <c r="D1276" s="11">
        <v>875.47</v>
      </c>
      <c r="E1276" s="11">
        <v>17</v>
      </c>
      <c r="F1276" s="11">
        <v>14882.99</v>
      </c>
      <c r="G1276" s="12">
        <v>45500</v>
      </c>
      <c r="H1276" s="12">
        <v>45097</v>
      </c>
      <c r="I1276" t="e">
        <f t="shared" si="19"/>
        <v>#NUM!</v>
      </c>
    </row>
    <row r="1277" spans="1:9" x14ac:dyDescent="0.3">
      <c r="A1277" s="11">
        <v>28553</v>
      </c>
      <c r="B1277" s="11" t="s">
        <v>19</v>
      </c>
      <c r="C1277" s="11" t="s">
        <v>56</v>
      </c>
      <c r="D1277" s="11">
        <v>641.34</v>
      </c>
      <c r="E1277" s="11">
        <v>23</v>
      </c>
      <c r="F1277" s="11">
        <v>14750.82</v>
      </c>
      <c r="G1277" s="12">
        <v>45441</v>
      </c>
      <c r="H1277" s="12">
        <v>45266</v>
      </c>
      <c r="I1277" t="e">
        <f t="shared" si="19"/>
        <v>#NUM!</v>
      </c>
    </row>
    <row r="1278" spans="1:9" x14ac:dyDescent="0.3">
      <c r="A1278" s="11">
        <v>99814</v>
      </c>
      <c r="B1278" s="11" t="s">
        <v>12</v>
      </c>
      <c r="C1278" s="11" t="s">
        <v>42</v>
      </c>
      <c r="D1278" s="11">
        <v>112.52</v>
      </c>
      <c r="E1278" s="11">
        <v>3</v>
      </c>
      <c r="F1278" s="11">
        <v>337.56</v>
      </c>
      <c r="G1278" s="12">
        <v>45404</v>
      </c>
      <c r="H1278" s="12">
        <v>45095</v>
      </c>
      <c r="I1278" t="e">
        <f t="shared" si="19"/>
        <v>#NUM!</v>
      </c>
    </row>
    <row r="1279" spans="1:9" x14ac:dyDescent="0.3">
      <c r="A1279" s="11">
        <v>28496</v>
      </c>
      <c r="B1279" s="11" t="s">
        <v>21</v>
      </c>
      <c r="C1279" s="11" t="s">
        <v>71</v>
      </c>
      <c r="D1279" s="11">
        <v>870.6</v>
      </c>
      <c r="E1279" s="11">
        <v>4</v>
      </c>
      <c r="F1279" s="11">
        <v>3482.4</v>
      </c>
      <c r="G1279" s="12">
        <v>45464</v>
      </c>
      <c r="H1279" s="12">
        <v>45384</v>
      </c>
      <c r="I1279" t="e">
        <f t="shared" si="19"/>
        <v>#NUM!</v>
      </c>
    </row>
    <row r="1280" spans="1:9" x14ac:dyDescent="0.3">
      <c r="A1280" s="11">
        <v>59659</v>
      </c>
      <c r="B1280" s="11" t="s">
        <v>10</v>
      </c>
      <c r="C1280" s="11" t="s">
        <v>30</v>
      </c>
      <c r="D1280" s="11">
        <v>68.05</v>
      </c>
      <c r="E1280" s="11">
        <v>48</v>
      </c>
      <c r="F1280" s="11">
        <v>3266.4</v>
      </c>
      <c r="G1280" s="12">
        <v>45385</v>
      </c>
      <c r="H1280" s="12">
        <v>45186</v>
      </c>
      <c r="I1280" t="e">
        <f t="shared" si="19"/>
        <v>#NUM!</v>
      </c>
    </row>
    <row r="1281" spans="1:9" x14ac:dyDescent="0.3">
      <c r="A1281" s="11">
        <v>93987</v>
      </c>
      <c r="B1281" s="11" t="s">
        <v>9</v>
      </c>
      <c r="C1281" s="11" t="s">
        <v>47</v>
      </c>
      <c r="D1281" s="11">
        <v>682.74</v>
      </c>
      <c r="E1281" s="11">
        <v>38</v>
      </c>
      <c r="F1281" s="11">
        <v>25944.12</v>
      </c>
      <c r="G1281" s="12">
        <v>45110</v>
      </c>
      <c r="H1281" s="12">
        <v>45596</v>
      </c>
      <c r="I1281">
        <f t="shared" si="19"/>
        <v>1</v>
      </c>
    </row>
    <row r="1282" spans="1:9" x14ac:dyDescent="0.3">
      <c r="A1282" s="11">
        <v>43267</v>
      </c>
      <c r="B1282" s="11" t="s">
        <v>24</v>
      </c>
      <c r="C1282" s="11" t="s">
        <v>76</v>
      </c>
      <c r="D1282" s="11">
        <v>95.12</v>
      </c>
      <c r="E1282" s="11">
        <v>25</v>
      </c>
      <c r="F1282" s="11">
        <v>2378</v>
      </c>
      <c r="G1282" s="12">
        <v>45244</v>
      </c>
      <c r="H1282" s="12">
        <v>45403</v>
      </c>
      <c r="I1282">
        <f t="shared" si="19"/>
        <v>1</v>
      </c>
    </row>
    <row r="1283" spans="1:9" x14ac:dyDescent="0.3">
      <c r="A1283" s="11">
        <v>31662</v>
      </c>
      <c r="B1283" s="11" t="s">
        <v>17</v>
      </c>
      <c r="C1283" s="11" t="s">
        <v>54</v>
      </c>
      <c r="D1283" s="11">
        <v>730.09</v>
      </c>
      <c r="E1283" s="11">
        <v>7</v>
      </c>
      <c r="F1283" s="11">
        <v>5110.63</v>
      </c>
      <c r="G1283" s="12">
        <v>45084</v>
      </c>
      <c r="H1283" s="12">
        <v>44961</v>
      </c>
      <c r="I1283" t="e">
        <f t="shared" ref="I1283:I1346" si="20">IF(DATEDIF(G1283,H1283,"d") &gt; 15,1,0)</f>
        <v>#NUM!</v>
      </c>
    </row>
    <row r="1284" spans="1:9" x14ac:dyDescent="0.3">
      <c r="A1284" s="11">
        <v>50179</v>
      </c>
      <c r="B1284" s="11" t="s">
        <v>20</v>
      </c>
      <c r="C1284" s="11" t="s">
        <v>70</v>
      </c>
      <c r="D1284" s="11">
        <v>430.1</v>
      </c>
      <c r="E1284" s="11">
        <v>13</v>
      </c>
      <c r="F1284" s="11">
        <v>5591.3</v>
      </c>
      <c r="G1284" s="12">
        <v>45627</v>
      </c>
      <c r="H1284" s="12">
        <v>45369</v>
      </c>
      <c r="I1284" t="e">
        <f t="shared" si="20"/>
        <v>#NUM!</v>
      </c>
    </row>
    <row r="1285" spans="1:9" x14ac:dyDescent="0.3">
      <c r="A1285" s="11">
        <v>85506</v>
      </c>
      <c r="B1285" s="11" t="s">
        <v>13</v>
      </c>
      <c r="C1285" s="11" t="s">
        <v>31</v>
      </c>
      <c r="D1285" s="11">
        <v>449.74</v>
      </c>
      <c r="E1285" s="11">
        <v>17</v>
      </c>
      <c r="F1285" s="11">
        <v>7645.58</v>
      </c>
      <c r="G1285" s="12">
        <v>45399</v>
      </c>
      <c r="H1285" s="12">
        <v>45121</v>
      </c>
      <c r="I1285" t="e">
        <f t="shared" si="20"/>
        <v>#NUM!</v>
      </c>
    </row>
    <row r="1286" spans="1:9" x14ac:dyDescent="0.3">
      <c r="A1286" s="11">
        <v>47231</v>
      </c>
      <c r="B1286" s="11" t="s">
        <v>26</v>
      </c>
      <c r="C1286" s="11" t="s">
        <v>62</v>
      </c>
      <c r="D1286" s="11">
        <v>474.55</v>
      </c>
      <c r="E1286" s="11">
        <v>20</v>
      </c>
      <c r="F1286" s="11">
        <v>9491</v>
      </c>
      <c r="G1286" s="12">
        <v>45191</v>
      </c>
      <c r="H1286" s="12">
        <v>45408</v>
      </c>
      <c r="I1286">
        <f t="shared" si="20"/>
        <v>1</v>
      </c>
    </row>
    <row r="1287" spans="1:9" x14ac:dyDescent="0.3">
      <c r="A1287" s="11">
        <v>82081</v>
      </c>
      <c r="B1287" s="11" t="s">
        <v>26</v>
      </c>
      <c r="C1287" s="11" t="s">
        <v>53</v>
      </c>
      <c r="D1287" s="11">
        <v>972.24</v>
      </c>
      <c r="E1287" s="11">
        <v>31</v>
      </c>
      <c r="F1287" s="11">
        <v>30139.439999999999</v>
      </c>
      <c r="G1287" s="12">
        <v>45417</v>
      </c>
      <c r="H1287" s="12">
        <v>45152</v>
      </c>
      <c r="I1287" t="e">
        <f t="shared" si="20"/>
        <v>#NUM!</v>
      </c>
    </row>
    <row r="1288" spans="1:9" x14ac:dyDescent="0.3">
      <c r="A1288" s="11">
        <v>44544</v>
      </c>
      <c r="B1288" s="11" t="s">
        <v>15</v>
      </c>
      <c r="C1288" s="11" t="s">
        <v>73</v>
      </c>
      <c r="D1288" s="11">
        <v>890.84</v>
      </c>
      <c r="E1288" s="11">
        <v>4</v>
      </c>
      <c r="F1288" s="11">
        <v>3563.36</v>
      </c>
      <c r="G1288" s="12">
        <v>45039</v>
      </c>
      <c r="H1288" s="12">
        <v>45627</v>
      </c>
      <c r="I1288">
        <f t="shared" si="20"/>
        <v>1</v>
      </c>
    </row>
    <row r="1289" spans="1:9" x14ac:dyDescent="0.3">
      <c r="A1289" s="11">
        <v>52967</v>
      </c>
      <c r="B1289" s="11" t="s">
        <v>8</v>
      </c>
      <c r="C1289" s="11" t="s">
        <v>71</v>
      </c>
      <c r="D1289" s="11">
        <v>870.6</v>
      </c>
      <c r="E1289" s="11">
        <v>48</v>
      </c>
      <c r="F1289" s="11">
        <v>41788.800000000003</v>
      </c>
      <c r="G1289" s="12">
        <v>45638</v>
      </c>
      <c r="H1289" s="12">
        <v>45503</v>
      </c>
      <c r="I1289" t="e">
        <f t="shared" si="20"/>
        <v>#NUM!</v>
      </c>
    </row>
    <row r="1290" spans="1:9" x14ac:dyDescent="0.3">
      <c r="A1290" s="11">
        <v>69677</v>
      </c>
      <c r="B1290" s="11" t="s">
        <v>16</v>
      </c>
      <c r="C1290" s="11" t="s">
        <v>40</v>
      </c>
      <c r="D1290" s="11">
        <v>875.47</v>
      </c>
      <c r="E1290" s="11">
        <v>17</v>
      </c>
      <c r="F1290" s="11">
        <v>14882.99</v>
      </c>
      <c r="G1290" s="12">
        <v>45181</v>
      </c>
      <c r="H1290" s="12">
        <v>45459</v>
      </c>
      <c r="I1290">
        <f t="shared" si="20"/>
        <v>1</v>
      </c>
    </row>
    <row r="1291" spans="1:9" x14ac:dyDescent="0.3">
      <c r="A1291" s="11">
        <v>29462</v>
      </c>
      <c r="B1291" s="11" t="s">
        <v>11</v>
      </c>
      <c r="C1291" s="11" t="s">
        <v>62</v>
      </c>
      <c r="D1291" s="11">
        <v>474.55</v>
      </c>
      <c r="E1291" s="11">
        <v>31</v>
      </c>
      <c r="F1291" s="11">
        <v>14711.05</v>
      </c>
      <c r="G1291" s="12">
        <v>45057</v>
      </c>
      <c r="H1291" s="12">
        <v>45020</v>
      </c>
      <c r="I1291" t="e">
        <f t="shared" si="20"/>
        <v>#NUM!</v>
      </c>
    </row>
    <row r="1292" spans="1:9" x14ac:dyDescent="0.3">
      <c r="A1292" s="11">
        <v>99837</v>
      </c>
      <c r="B1292" s="11" t="s">
        <v>21</v>
      </c>
      <c r="C1292" s="11" t="s">
        <v>46</v>
      </c>
      <c r="D1292" s="11">
        <v>617.33000000000004</v>
      </c>
      <c r="E1292" s="11">
        <v>32</v>
      </c>
      <c r="F1292" s="11">
        <v>19754.560000000001</v>
      </c>
      <c r="G1292" s="12">
        <v>45008</v>
      </c>
      <c r="H1292" s="12">
        <v>45222</v>
      </c>
      <c r="I1292">
        <f t="shared" si="20"/>
        <v>1</v>
      </c>
    </row>
    <row r="1293" spans="1:9" x14ac:dyDescent="0.3">
      <c r="A1293" s="11">
        <v>83027</v>
      </c>
      <c r="B1293" s="11" t="s">
        <v>26</v>
      </c>
      <c r="C1293" s="11" t="s">
        <v>36</v>
      </c>
      <c r="D1293" s="11">
        <v>596.97</v>
      </c>
      <c r="E1293" s="11">
        <v>36</v>
      </c>
      <c r="F1293" s="11">
        <v>21490.92</v>
      </c>
      <c r="G1293" s="12">
        <v>45326</v>
      </c>
      <c r="H1293" s="12">
        <v>45019</v>
      </c>
      <c r="I1293" t="e">
        <f t="shared" si="20"/>
        <v>#NUM!</v>
      </c>
    </row>
    <row r="1294" spans="1:9" x14ac:dyDescent="0.3">
      <c r="A1294" s="11">
        <v>58511</v>
      </c>
      <c r="B1294" s="11" t="s">
        <v>8</v>
      </c>
      <c r="C1294" s="11" t="s">
        <v>50</v>
      </c>
      <c r="D1294" s="11">
        <v>468.95</v>
      </c>
      <c r="E1294" s="11">
        <v>3</v>
      </c>
      <c r="F1294" s="11">
        <v>1406.85</v>
      </c>
      <c r="G1294" s="12">
        <v>45472</v>
      </c>
      <c r="H1294" s="12">
        <v>45279</v>
      </c>
      <c r="I1294" t="e">
        <f t="shared" si="20"/>
        <v>#NUM!</v>
      </c>
    </row>
    <row r="1295" spans="1:9" x14ac:dyDescent="0.3">
      <c r="A1295" s="11">
        <v>75838</v>
      </c>
      <c r="B1295" s="11" t="s">
        <v>16</v>
      </c>
      <c r="C1295" s="11" t="s">
        <v>28</v>
      </c>
      <c r="D1295" s="11">
        <v>855.99</v>
      </c>
      <c r="E1295" s="11">
        <v>42</v>
      </c>
      <c r="F1295" s="11">
        <v>35951.58</v>
      </c>
      <c r="G1295" s="12">
        <v>45586</v>
      </c>
      <c r="H1295" s="12">
        <v>45412</v>
      </c>
      <c r="I1295" t="e">
        <f t="shared" si="20"/>
        <v>#NUM!</v>
      </c>
    </row>
    <row r="1296" spans="1:9" x14ac:dyDescent="0.3">
      <c r="A1296" s="11">
        <v>26139</v>
      </c>
      <c r="B1296" s="11" t="s">
        <v>26</v>
      </c>
      <c r="C1296" s="11" t="s">
        <v>77</v>
      </c>
      <c r="D1296" s="11">
        <v>761.92</v>
      </c>
      <c r="E1296" s="11">
        <v>34</v>
      </c>
      <c r="F1296" s="11">
        <v>25905.279999999999</v>
      </c>
      <c r="G1296" s="12">
        <v>45218</v>
      </c>
      <c r="H1296" s="12">
        <v>45314</v>
      </c>
      <c r="I1296">
        <f t="shared" si="20"/>
        <v>1</v>
      </c>
    </row>
    <row r="1297" spans="1:9" x14ac:dyDescent="0.3">
      <c r="A1297" s="11">
        <v>15442</v>
      </c>
      <c r="B1297" s="11" t="s">
        <v>9</v>
      </c>
      <c r="C1297" s="11" t="s">
        <v>68</v>
      </c>
      <c r="D1297" s="11">
        <v>795.19</v>
      </c>
      <c r="E1297" s="11">
        <v>23</v>
      </c>
      <c r="F1297" s="11">
        <v>18289.37</v>
      </c>
      <c r="G1297" s="12">
        <v>44954</v>
      </c>
      <c r="H1297" s="12">
        <v>45074</v>
      </c>
      <c r="I1297">
        <f t="shared" si="20"/>
        <v>1</v>
      </c>
    </row>
    <row r="1298" spans="1:9" x14ac:dyDescent="0.3">
      <c r="A1298" s="11">
        <v>22001</v>
      </c>
      <c r="B1298" s="11" t="s">
        <v>17</v>
      </c>
      <c r="C1298" s="11" t="s">
        <v>63</v>
      </c>
      <c r="D1298" s="11">
        <v>611.66</v>
      </c>
      <c r="E1298" s="11">
        <v>39</v>
      </c>
      <c r="F1298" s="11">
        <v>23854.74</v>
      </c>
      <c r="G1298" s="12">
        <v>45673</v>
      </c>
      <c r="H1298" s="12">
        <v>45289</v>
      </c>
      <c r="I1298" t="e">
        <f t="shared" si="20"/>
        <v>#NUM!</v>
      </c>
    </row>
    <row r="1299" spans="1:9" x14ac:dyDescent="0.3">
      <c r="A1299" s="11">
        <v>38966</v>
      </c>
      <c r="B1299" s="11" t="s">
        <v>22</v>
      </c>
      <c r="C1299" s="11" t="s">
        <v>58</v>
      </c>
      <c r="D1299" s="11">
        <v>988.73</v>
      </c>
      <c r="E1299" s="11">
        <v>32</v>
      </c>
      <c r="F1299" s="11">
        <v>31639.360000000001</v>
      </c>
      <c r="G1299" s="12">
        <v>45433</v>
      </c>
      <c r="H1299" s="12">
        <v>45377</v>
      </c>
      <c r="I1299" t="e">
        <f t="shared" si="20"/>
        <v>#NUM!</v>
      </c>
    </row>
    <row r="1300" spans="1:9" x14ac:dyDescent="0.3">
      <c r="A1300" s="11">
        <v>76828</v>
      </c>
      <c r="B1300" s="11" t="s">
        <v>11</v>
      </c>
      <c r="C1300" s="11" t="s">
        <v>47</v>
      </c>
      <c r="D1300" s="11">
        <v>682.74</v>
      </c>
      <c r="E1300" s="11">
        <v>2</v>
      </c>
      <c r="F1300" s="11">
        <v>1365.48</v>
      </c>
      <c r="G1300" s="12">
        <v>45174</v>
      </c>
      <c r="H1300" s="12">
        <v>44983</v>
      </c>
      <c r="I1300" t="e">
        <f t="shared" si="20"/>
        <v>#NUM!</v>
      </c>
    </row>
    <row r="1301" spans="1:9" x14ac:dyDescent="0.3">
      <c r="A1301" s="11">
        <v>64853</v>
      </c>
      <c r="B1301" s="11" t="s">
        <v>15</v>
      </c>
      <c r="C1301" s="11" t="s">
        <v>57</v>
      </c>
      <c r="D1301" s="11">
        <v>404.9</v>
      </c>
      <c r="E1301" s="11">
        <v>19</v>
      </c>
      <c r="F1301" s="11">
        <v>7693.1</v>
      </c>
      <c r="G1301" s="12">
        <v>45189</v>
      </c>
      <c r="H1301" s="12">
        <v>45319</v>
      </c>
      <c r="I1301">
        <f t="shared" si="20"/>
        <v>1</v>
      </c>
    </row>
    <row r="1302" spans="1:9" x14ac:dyDescent="0.3">
      <c r="A1302" s="11">
        <v>22081</v>
      </c>
      <c r="B1302" s="11" t="s">
        <v>27</v>
      </c>
      <c r="C1302" s="11" t="s">
        <v>37</v>
      </c>
      <c r="D1302" s="11">
        <v>796.94</v>
      </c>
      <c r="E1302" s="11">
        <v>3</v>
      </c>
      <c r="F1302" s="11">
        <v>2390.8200000000002</v>
      </c>
      <c r="G1302" s="12">
        <v>45157</v>
      </c>
      <c r="H1302" s="12">
        <v>45041</v>
      </c>
      <c r="I1302" t="e">
        <f t="shared" si="20"/>
        <v>#NUM!</v>
      </c>
    </row>
    <row r="1303" spans="1:9" x14ac:dyDescent="0.3">
      <c r="A1303" s="11">
        <v>20769</v>
      </c>
      <c r="B1303" s="11" t="s">
        <v>19</v>
      </c>
      <c r="C1303" s="11" t="s">
        <v>40</v>
      </c>
      <c r="D1303" s="11">
        <v>875.47</v>
      </c>
      <c r="E1303" s="11">
        <v>33</v>
      </c>
      <c r="F1303" s="11">
        <v>28890.51</v>
      </c>
      <c r="G1303" s="12">
        <v>45385</v>
      </c>
      <c r="H1303" s="12">
        <v>45402</v>
      </c>
      <c r="I1303">
        <f t="shared" si="20"/>
        <v>1</v>
      </c>
    </row>
    <row r="1304" spans="1:9" x14ac:dyDescent="0.3">
      <c r="A1304" s="11">
        <v>54682</v>
      </c>
      <c r="B1304" s="11" t="s">
        <v>13</v>
      </c>
      <c r="C1304" s="11" t="s">
        <v>67</v>
      </c>
      <c r="D1304" s="11">
        <v>402.36</v>
      </c>
      <c r="E1304" s="11">
        <v>22</v>
      </c>
      <c r="F1304" s="11">
        <v>8851.92</v>
      </c>
      <c r="G1304" s="12">
        <v>45435</v>
      </c>
      <c r="H1304" s="12">
        <v>45433</v>
      </c>
      <c r="I1304" t="e">
        <f t="shared" si="20"/>
        <v>#NUM!</v>
      </c>
    </row>
    <row r="1305" spans="1:9" x14ac:dyDescent="0.3">
      <c r="A1305" s="11">
        <v>35083</v>
      </c>
      <c r="B1305" s="11" t="s">
        <v>23</v>
      </c>
      <c r="C1305" s="11" t="s">
        <v>33</v>
      </c>
      <c r="D1305" s="11">
        <v>622.16</v>
      </c>
      <c r="E1305" s="11">
        <v>29</v>
      </c>
      <c r="F1305" s="11">
        <v>18042.64</v>
      </c>
      <c r="G1305" s="12">
        <v>45008</v>
      </c>
      <c r="H1305" s="12">
        <v>45461</v>
      </c>
      <c r="I1305">
        <f t="shared" si="20"/>
        <v>1</v>
      </c>
    </row>
    <row r="1306" spans="1:9" x14ac:dyDescent="0.3">
      <c r="A1306" s="11">
        <v>28190</v>
      </c>
      <c r="B1306" s="11" t="s">
        <v>25</v>
      </c>
      <c r="C1306" s="11" t="s">
        <v>72</v>
      </c>
      <c r="D1306" s="11">
        <v>913.18</v>
      </c>
      <c r="E1306" s="11">
        <v>17</v>
      </c>
      <c r="F1306" s="11">
        <v>15524.06</v>
      </c>
      <c r="G1306" s="12">
        <v>45497</v>
      </c>
      <c r="H1306" s="12">
        <v>45198</v>
      </c>
      <c r="I1306" t="e">
        <f t="shared" si="20"/>
        <v>#NUM!</v>
      </c>
    </row>
    <row r="1307" spans="1:9" x14ac:dyDescent="0.3">
      <c r="A1307" s="11">
        <v>12552</v>
      </c>
      <c r="B1307" s="11" t="s">
        <v>19</v>
      </c>
      <c r="C1307" s="11" t="s">
        <v>41</v>
      </c>
      <c r="D1307" s="11">
        <v>110.41</v>
      </c>
      <c r="E1307" s="11">
        <v>22</v>
      </c>
      <c r="F1307" s="11">
        <v>2429.02</v>
      </c>
      <c r="G1307" s="12">
        <v>45556</v>
      </c>
      <c r="H1307" s="12">
        <v>45105</v>
      </c>
      <c r="I1307" t="e">
        <f t="shared" si="20"/>
        <v>#NUM!</v>
      </c>
    </row>
    <row r="1308" spans="1:9" x14ac:dyDescent="0.3">
      <c r="A1308" s="11">
        <v>47788</v>
      </c>
      <c r="B1308" s="11" t="s">
        <v>8</v>
      </c>
      <c r="C1308" s="11" t="s">
        <v>47</v>
      </c>
      <c r="D1308" s="11">
        <v>682.74</v>
      </c>
      <c r="E1308" s="11">
        <v>24</v>
      </c>
      <c r="F1308" s="11">
        <v>16385.759999999998</v>
      </c>
      <c r="G1308" s="12">
        <v>45545</v>
      </c>
      <c r="H1308" s="12">
        <v>45006</v>
      </c>
      <c r="I1308" t="e">
        <f t="shared" si="20"/>
        <v>#NUM!</v>
      </c>
    </row>
    <row r="1309" spans="1:9" x14ac:dyDescent="0.3">
      <c r="A1309" s="11">
        <v>98383</v>
      </c>
      <c r="B1309" s="11" t="s">
        <v>15</v>
      </c>
      <c r="C1309" s="11" t="s">
        <v>62</v>
      </c>
      <c r="D1309" s="11">
        <v>474.55</v>
      </c>
      <c r="E1309" s="11">
        <v>25</v>
      </c>
      <c r="F1309" s="11">
        <v>11863.75</v>
      </c>
      <c r="G1309" s="12">
        <v>45049</v>
      </c>
      <c r="H1309" s="12">
        <v>45586</v>
      </c>
      <c r="I1309">
        <f t="shared" si="20"/>
        <v>1</v>
      </c>
    </row>
    <row r="1310" spans="1:9" x14ac:dyDescent="0.3">
      <c r="A1310" s="11">
        <v>79006</v>
      </c>
      <c r="B1310" s="11" t="s">
        <v>10</v>
      </c>
      <c r="C1310" s="11" t="s">
        <v>51</v>
      </c>
      <c r="D1310" s="11">
        <v>533.15</v>
      </c>
      <c r="E1310" s="11">
        <v>11</v>
      </c>
      <c r="F1310" s="11">
        <v>5864.65</v>
      </c>
      <c r="G1310" s="12">
        <v>45062</v>
      </c>
      <c r="H1310" s="12">
        <v>45245</v>
      </c>
      <c r="I1310">
        <f t="shared" si="20"/>
        <v>1</v>
      </c>
    </row>
    <row r="1311" spans="1:9" x14ac:dyDescent="0.3">
      <c r="A1311" s="11">
        <v>20929</v>
      </c>
      <c r="B1311" s="11" t="s">
        <v>22</v>
      </c>
      <c r="C1311" s="11" t="s">
        <v>34</v>
      </c>
      <c r="D1311" s="11">
        <v>222.47</v>
      </c>
      <c r="E1311" s="11">
        <v>37</v>
      </c>
      <c r="F1311" s="11">
        <v>8231.39</v>
      </c>
      <c r="G1311" s="12">
        <v>45662</v>
      </c>
      <c r="H1311" s="12">
        <v>45173</v>
      </c>
      <c r="I1311" t="e">
        <f t="shared" si="20"/>
        <v>#NUM!</v>
      </c>
    </row>
    <row r="1312" spans="1:9" x14ac:dyDescent="0.3">
      <c r="A1312" s="11">
        <v>19258</v>
      </c>
      <c r="B1312" s="11" t="s">
        <v>8</v>
      </c>
      <c r="C1312" s="11" t="s">
        <v>45</v>
      </c>
      <c r="D1312" s="11">
        <v>366.3</v>
      </c>
      <c r="E1312" s="11">
        <v>41</v>
      </c>
      <c r="F1312" s="11">
        <v>15018.3</v>
      </c>
      <c r="G1312" s="12">
        <v>45377</v>
      </c>
      <c r="H1312" s="12">
        <v>45198</v>
      </c>
      <c r="I1312" t="e">
        <f t="shared" si="20"/>
        <v>#NUM!</v>
      </c>
    </row>
    <row r="1313" spans="1:9" x14ac:dyDescent="0.3">
      <c r="A1313" s="11">
        <v>59145</v>
      </c>
      <c r="B1313" s="11" t="s">
        <v>27</v>
      </c>
      <c r="C1313" s="11" t="s">
        <v>28</v>
      </c>
      <c r="D1313" s="11">
        <v>855.99</v>
      </c>
      <c r="E1313" s="11">
        <v>20</v>
      </c>
      <c r="F1313" s="11">
        <v>17119.8</v>
      </c>
      <c r="G1313" s="12">
        <v>44953</v>
      </c>
      <c r="H1313" s="12">
        <v>45597</v>
      </c>
      <c r="I1313">
        <f t="shared" si="20"/>
        <v>1</v>
      </c>
    </row>
    <row r="1314" spans="1:9" x14ac:dyDescent="0.3">
      <c r="A1314" s="11">
        <v>88327</v>
      </c>
      <c r="B1314" s="11" t="s">
        <v>24</v>
      </c>
      <c r="C1314" s="11" t="s">
        <v>52</v>
      </c>
      <c r="D1314" s="11">
        <v>323.73</v>
      </c>
      <c r="E1314" s="11">
        <v>45</v>
      </c>
      <c r="F1314" s="11">
        <v>14567.85</v>
      </c>
      <c r="G1314" s="12">
        <v>45126</v>
      </c>
      <c r="H1314" s="12">
        <v>45382</v>
      </c>
      <c r="I1314">
        <f t="shared" si="20"/>
        <v>1</v>
      </c>
    </row>
    <row r="1315" spans="1:9" x14ac:dyDescent="0.3">
      <c r="A1315" s="11">
        <v>35299</v>
      </c>
      <c r="B1315" s="11" t="s">
        <v>27</v>
      </c>
      <c r="C1315" s="11" t="s">
        <v>28</v>
      </c>
      <c r="D1315" s="11">
        <v>855.99</v>
      </c>
      <c r="E1315" s="11">
        <v>3</v>
      </c>
      <c r="F1315" s="11">
        <v>2567.9699999999998</v>
      </c>
      <c r="G1315" s="12">
        <v>44981</v>
      </c>
      <c r="H1315" s="12">
        <v>45567</v>
      </c>
      <c r="I1315">
        <f t="shared" si="20"/>
        <v>1</v>
      </c>
    </row>
    <row r="1316" spans="1:9" x14ac:dyDescent="0.3">
      <c r="A1316" s="11">
        <v>35052</v>
      </c>
      <c r="B1316" s="11" t="s">
        <v>19</v>
      </c>
      <c r="C1316" s="11" t="s">
        <v>69</v>
      </c>
      <c r="D1316" s="11">
        <v>158.66999999999999</v>
      </c>
      <c r="E1316" s="11">
        <v>16</v>
      </c>
      <c r="F1316" s="11">
        <v>2538.7199999999998</v>
      </c>
      <c r="G1316" s="12">
        <v>45009</v>
      </c>
      <c r="H1316" s="12">
        <v>45032</v>
      </c>
      <c r="I1316">
        <f t="shared" si="20"/>
        <v>1</v>
      </c>
    </row>
    <row r="1317" spans="1:9" x14ac:dyDescent="0.3">
      <c r="A1317" s="11">
        <v>87911</v>
      </c>
      <c r="B1317" s="11" t="s">
        <v>13</v>
      </c>
      <c r="C1317" s="11" t="s">
        <v>68</v>
      </c>
      <c r="D1317" s="11">
        <v>795.19</v>
      </c>
      <c r="E1317" s="11">
        <v>11</v>
      </c>
      <c r="F1317" s="11">
        <v>8747.09</v>
      </c>
      <c r="G1317" s="12">
        <v>45270</v>
      </c>
      <c r="H1317" s="12">
        <v>45376</v>
      </c>
      <c r="I1317">
        <f t="shared" si="20"/>
        <v>1</v>
      </c>
    </row>
    <row r="1318" spans="1:9" x14ac:dyDescent="0.3">
      <c r="A1318" s="11">
        <v>11493</v>
      </c>
      <c r="B1318" s="11" t="s">
        <v>14</v>
      </c>
      <c r="C1318" s="11" t="s">
        <v>67</v>
      </c>
      <c r="D1318" s="11">
        <v>402.36</v>
      </c>
      <c r="E1318" s="11">
        <v>10</v>
      </c>
      <c r="F1318" s="11">
        <v>4023.6</v>
      </c>
      <c r="G1318" s="12">
        <v>45616</v>
      </c>
      <c r="H1318" s="12">
        <v>45633</v>
      </c>
      <c r="I1318">
        <f t="shared" si="20"/>
        <v>1</v>
      </c>
    </row>
    <row r="1319" spans="1:9" x14ac:dyDescent="0.3">
      <c r="A1319" s="11">
        <v>75185</v>
      </c>
      <c r="B1319" s="11" t="s">
        <v>11</v>
      </c>
      <c r="C1319" s="11" t="s">
        <v>49</v>
      </c>
      <c r="D1319" s="11">
        <v>534.77</v>
      </c>
      <c r="E1319" s="11">
        <v>6</v>
      </c>
      <c r="F1319" s="11">
        <v>3208.62</v>
      </c>
      <c r="G1319" s="12">
        <v>45356</v>
      </c>
      <c r="H1319" s="12">
        <v>45598</v>
      </c>
      <c r="I1319">
        <f t="shared" si="20"/>
        <v>1</v>
      </c>
    </row>
    <row r="1320" spans="1:9" x14ac:dyDescent="0.3">
      <c r="A1320" s="11">
        <v>99031</v>
      </c>
      <c r="B1320" s="11" t="s">
        <v>21</v>
      </c>
      <c r="C1320" s="11" t="s">
        <v>50</v>
      </c>
      <c r="D1320" s="11">
        <v>468.95</v>
      </c>
      <c r="E1320" s="11">
        <v>32</v>
      </c>
      <c r="F1320" s="11">
        <v>15006.4</v>
      </c>
      <c r="G1320" s="12">
        <v>45405</v>
      </c>
      <c r="H1320" s="12">
        <v>45636</v>
      </c>
      <c r="I1320">
        <f t="shared" si="20"/>
        <v>1</v>
      </c>
    </row>
    <row r="1321" spans="1:9" x14ac:dyDescent="0.3">
      <c r="A1321" s="11">
        <v>50752</v>
      </c>
      <c r="B1321" s="11" t="s">
        <v>20</v>
      </c>
      <c r="C1321" s="11" t="s">
        <v>55</v>
      </c>
      <c r="D1321" s="11">
        <v>399.32</v>
      </c>
      <c r="E1321" s="11">
        <v>1</v>
      </c>
      <c r="F1321" s="11">
        <v>399.32</v>
      </c>
      <c r="G1321" s="12">
        <v>45475</v>
      </c>
      <c r="H1321" s="12">
        <v>45177</v>
      </c>
      <c r="I1321" t="e">
        <f t="shared" si="20"/>
        <v>#NUM!</v>
      </c>
    </row>
    <row r="1322" spans="1:9" x14ac:dyDescent="0.3">
      <c r="A1322" s="11">
        <v>57285</v>
      </c>
      <c r="B1322" s="11" t="s">
        <v>12</v>
      </c>
      <c r="C1322" s="11" t="s">
        <v>68</v>
      </c>
      <c r="D1322" s="11">
        <v>795.19</v>
      </c>
      <c r="E1322" s="11">
        <v>33</v>
      </c>
      <c r="F1322" s="11">
        <v>26241.27</v>
      </c>
      <c r="G1322" s="12">
        <v>45647</v>
      </c>
      <c r="H1322" s="12">
        <v>45212</v>
      </c>
      <c r="I1322" t="e">
        <f t="shared" si="20"/>
        <v>#NUM!</v>
      </c>
    </row>
    <row r="1323" spans="1:9" x14ac:dyDescent="0.3">
      <c r="A1323" s="11">
        <v>92958</v>
      </c>
      <c r="B1323" s="11" t="s">
        <v>27</v>
      </c>
      <c r="C1323" s="11" t="s">
        <v>42</v>
      </c>
      <c r="D1323" s="11">
        <v>112.52</v>
      </c>
      <c r="E1323" s="11">
        <v>33</v>
      </c>
      <c r="F1323" s="11">
        <v>3713.16</v>
      </c>
      <c r="G1323" s="12">
        <v>45611</v>
      </c>
      <c r="H1323" s="12">
        <v>45599</v>
      </c>
      <c r="I1323" t="e">
        <f t="shared" si="20"/>
        <v>#NUM!</v>
      </c>
    </row>
    <row r="1324" spans="1:9" x14ac:dyDescent="0.3">
      <c r="A1324" s="11">
        <v>57403</v>
      </c>
      <c r="B1324" s="11" t="s">
        <v>18</v>
      </c>
      <c r="C1324" s="11" t="s">
        <v>69</v>
      </c>
      <c r="D1324" s="11">
        <v>158.66999999999999</v>
      </c>
      <c r="E1324" s="11">
        <v>3</v>
      </c>
      <c r="F1324" s="11">
        <v>476.01</v>
      </c>
      <c r="G1324" s="12">
        <v>45428</v>
      </c>
      <c r="H1324" s="12">
        <v>45306</v>
      </c>
      <c r="I1324" t="e">
        <f t="shared" si="20"/>
        <v>#NUM!</v>
      </c>
    </row>
    <row r="1325" spans="1:9" x14ac:dyDescent="0.3">
      <c r="A1325" s="11">
        <v>45571</v>
      </c>
      <c r="B1325" s="11" t="s">
        <v>25</v>
      </c>
      <c r="C1325" s="11" t="s">
        <v>52</v>
      </c>
      <c r="D1325" s="11">
        <v>323.73</v>
      </c>
      <c r="E1325" s="11">
        <v>10</v>
      </c>
      <c r="F1325" s="11">
        <v>3237.3</v>
      </c>
      <c r="G1325" s="12">
        <v>45163</v>
      </c>
      <c r="H1325" s="12">
        <v>45644</v>
      </c>
      <c r="I1325">
        <f t="shared" si="20"/>
        <v>1</v>
      </c>
    </row>
    <row r="1326" spans="1:9" x14ac:dyDescent="0.3">
      <c r="A1326" s="11">
        <v>96866</v>
      </c>
      <c r="B1326" s="11" t="s">
        <v>24</v>
      </c>
      <c r="C1326" s="11" t="s">
        <v>38</v>
      </c>
      <c r="D1326" s="11">
        <v>233.83</v>
      </c>
      <c r="E1326" s="11">
        <v>32</v>
      </c>
      <c r="F1326" s="11">
        <v>7482.56</v>
      </c>
      <c r="G1326" s="12">
        <v>45289</v>
      </c>
      <c r="H1326" s="12">
        <v>45490</v>
      </c>
      <c r="I1326">
        <f t="shared" si="20"/>
        <v>1</v>
      </c>
    </row>
    <row r="1327" spans="1:9" x14ac:dyDescent="0.3">
      <c r="A1327" s="11">
        <v>68759</v>
      </c>
      <c r="B1327" s="11" t="s">
        <v>20</v>
      </c>
      <c r="C1327" s="11" t="s">
        <v>56</v>
      </c>
      <c r="D1327" s="11">
        <v>641.34</v>
      </c>
      <c r="E1327" s="11">
        <v>16</v>
      </c>
      <c r="F1327" s="11">
        <v>10261.44</v>
      </c>
      <c r="G1327" s="12">
        <v>45026</v>
      </c>
      <c r="H1327" s="12">
        <v>45496</v>
      </c>
      <c r="I1327">
        <f t="shared" si="20"/>
        <v>1</v>
      </c>
    </row>
    <row r="1328" spans="1:9" x14ac:dyDescent="0.3">
      <c r="A1328" s="11">
        <v>38487</v>
      </c>
      <c r="B1328" s="11" t="s">
        <v>22</v>
      </c>
      <c r="C1328" s="11" t="s">
        <v>56</v>
      </c>
      <c r="D1328" s="11">
        <v>641.34</v>
      </c>
      <c r="E1328" s="11">
        <v>32</v>
      </c>
      <c r="F1328" s="11">
        <v>20522.88</v>
      </c>
      <c r="G1328" s="12">
        <v>44989</v>
      </c>
      <c r="H1328" s="12">
        <v>45162</v>
      </c>
      <c r="I1328">
        <f t="shared" si="20"/>
        <v>1</v>
      </c>
    </row>
    <row r="1329" spans="1:9" x14ac:dyDescent="0.3">
      <c r="A1329" s="11">
        <v>75531</v>
      </c>
      <c r="B1329" s="11" t="s">
        <v>18</v>
      </c>
      <c r="C1329" s="11" t="s">
        <v>69</v>
      </c>
      <c r="D1329" s="11">
        <v>158.66999999999999</v>
      </c>
      <c r="E1329" s="11">
        <v>46</v>
      </c>
      <c r="F1329" s="11">
        <v>7298.82</v>
      </c>
      <c r="G1329" s="12">
        <v>45510</v>
      </c>
      <c r="H1329" s="12">
        <v>45584</v>
      </c>
      <c r="I1329">
        <f t="shared" si="20"/>
        <v>1</v>
      </c>
    </row>
    <row r="1330" spans="1:9" x14ac:dyDescent="0.3">
      <c r="A1330" s="11">
        <v>44084</v>
      </c>
      <c r="B1330" s="11" t="s">
        <v>9</v>
      </c>
      <c r="C1330" s="11" t="s">
        <v>75</v>
      </c>
      <c r="D1330" s="11">
        <v>325</v>
      </c>
      <c r="E1330" s="11">
        <v>40</v>
      </c>
      <c r="F1330" s="11">
        <v>13000</v>
      </c>
      <c r="G1330" s="12">
        <v>45675</v>
      </c>
      <c r="H1330" s="12">
        <v>45318</v>
      </c>
      <c r="I1330" t="e">
        <f t="shared" si="20"/>
        <v>#NUM!</v>
      </c>
    </row>
    <row r="1331" spans="1:9" x14ac:dyDescent="0.3">
      <c r="A1331" s="11">
        <v>45569</v>
      </c>
      <c r="B1331" s="11" t="s">
        <v>12</v>
      </c>
      <c r="C1331" s="11" t="s">
        <v>60</v>
      </c>
      <c r="D1331" s="11">
        <v>184.57</v>
      </c>
      <c r="E1331" s="11">
        <v>38</v>
      </c>
      <c r="F1331" s="11">
        <v>7013.66</v>
      </c>
      <c r="G1331" s="12">
        <v>45076</v>
      </c>
      <c r="H1331" s="12">
        <v>45305</v>
      </c>
      <c r="I1331">
        <f t="shared" si="20"/>
        <v>1</v>
      </c>
    </row>
    <row r="1332" spans="1:9" x14ac:dyDescent="0.3">
      <c r="A1332" s="11">
        <v>51285</v>
      </c>
      <c r="B1332" s="11" t="s">
        <v>18</v>
      </c>
      <c r="C1332" s="11" t="s">
        <v>72</v>
      </c>
      <c r="D1332" s="11">
        <v>913.18</v>
      </c>
      <c r="E1332" s="11">
        <v>16</v>
      </c>
      <c r="F1332" s="11">
        <v>14610.88</v>
      </c>
      <c r="G1332" s="12">
        <v>45587</v>
      </c>
      <c r="H1332" s="12">
        <v>45325</v>
      </c>
      <c r="I1332" t="e">
        <f t="shared" si="20"/>
        <v>#NUM!</v>
      </c>
    </row>
    <row r="1333" spans="1:9" x14ac:dyDescent="0.3">
      <c r="A1333" s="11">
        <v>26679</v>
      </c>
      <c r="B1333" s="11" t="s">
        <v>18</v>
      </c>
      <c r="C1333" s="11" t="s">
        <v>76</v>
      </c>
      <c r="D1333" s="11">
        <v>95.12</v>
      </c>
      <c r="E1333" s="11">
        <v>7</v>
      </c>
      <c r="F1333" s="11">
        <v>665.84</v>
      </c>
      <c r="G1333" s="12">
        <v>45201</v>
      </c>
      <c r="H1333" s="12">
        <v>45166</v>
      </c>
      <c r="I1333" t="e">
        <f t="shared" si="20"/>
        <v>#NUM!</v>
      </c>
    </row>
    <row r="1334" spans="1:9" x14ac:dyDescent="0.3">
      <c r="A1334" s="11">
        <v>26798</v>
      </c>
      <c r="B1334" s="11" t="s">
        <v>13</v>
      </c>
      <c r="C1334" s="11" t="s">
        <v>65</v>
      </c>
      <c r="D1334" s="11">
        <v>753.12</v>
      </c>
      <c r="E1334" s="11">
        <v>12</v>
      </c>
      <c r="F1334" s="11">
        <v>9037.44</v>
      </c>
      <c r="G1334" s="12">
        <v>44990</v>
      </c>
      <c r="H1334" s="12">
        <v>45279</v>
      </c>
      <c r="I1334">
        <f t="shared" si="20"/>
        <v>1</v>
      </c>
    </row>
    <row r="1335" spans="1:9" x14ac:dyDescent="0.3">
      <c r="A1335" s="11">
        <v>49185</v>
      </c>
      <c r="B1335" s="11" t="s">
        <v>27</v>
      </c>
      <c r="C1335" s="11" t="s">
        <v>67</v>
      </c>
      <c r="D1335" s="11">
        <v>402.36</v>
      </c>
      <c r="E1335" s="11">
        <v>4</v>
      </c>
      <c r="F1335" s="11">
        <v>1609.44</v>
      </c>
      <c r="G1335" s="12">
        <v>45128</v>
      </c>
      <c r="H1335" s="12">
        <v>45062</v>
      </c>
      <c r="I1335" t="e">
        <f t="shared" si="20"/>
        <v>#NUM!</v>
      </c>
    </row>
    <row r="1336" spans="1:9" x14ac:dyDescent="0.3">
      <c r="A1336" s="11">
        <v>28580</v>
      </c>
      <c r="B1336" s="11" t="s">
        <v>18</v>
      </c>
      <c r="C1336" s="11" t="s">
        <v>58</v>
      </c>
      <c r="D1336" s="11">
        <v>988.73</v>
      </c>
      <c r="E1336" s="11">
        <v>2</v>
      </c>
      <c r="F1336" s="11">
        <v>1977.46</v>
      </c>
      <c r="G1336" s="12">
        <v>45374</v>
      </c>
      <c r="H1336" s="12">
        <v>45181</v>
      </c>
      <c r="I1336" t="e">
        <f t="shared" si="20"/>
        <v>#NUM!</v>
      </c>
    </row>
    <row r="1337" spans="1:9" x14ac:dyDescent="0.3">
      <c r="A1337" s="11">
        <v>19585</v>
      </c>
      <c r="B1337" s="11" t="s">
        <v>13</v>
      </c>
      <c r="C1337" s="11" t="s">
        <v>32</v>
      </c>
      <c r="D1337" s="11">
        <v>546.64</v>
      </c>
      <c r="E1337" s="11">
        <v>49</v>
      </c>
      <c r="F1337" s="11">
        <v>26785.360000000001</v>
      </c>
      <c r="G1337" s="12">
        <v>45013</v>
      </c>
      <c r="H1337" s="12">
        <v>44967</v>
      </c>
      <c r="I1337" t="e">
        <f t="shared" si="20"/>
        <v>#NUM!</v>
      </c>
    </row>
    <row r="1338" spans="1:9" x14ac:dyDescent="0.3">
      <c r="A1338" s="11">
        <v>97561</v>
      </c>
      <c r="B1338" s="11" t="s">
        <v>14</v>
      </c>
      <c r="C1338" s="11" t="s">
        <v>58</v>
      </c>
      <c r="D1338" s="11">
        <v>988.73</v>
      </c>
      <c r="E1338" s="11">
        <v>3</v>
      </c>
      <c r="F1338" s="11">
        <v>2966.19</v>
      </c>
      <c r="G1338" s="12">
        <v>45653</v>
      </c>
      <c r="H1338" s="12">
        <v>45254</v>
      </c>
      <c r="I1338" t="e">
        <f t="shared" si="20"/>
        <v>#NUM!</v>
      </c>
    </row>
    <row r="1339" spans="1:9" x14ac:dyDescent="0.3">
      <c r="A1339" s="11">
        <v>33387</v>
      </c>
      <c r="B1339" s="11" t="s">
        <v>17</v>
      </c>
      <c r="C1339" s="11" t="s">
        <v>60</v>
      </c>
      <c r="D1339" s="11">
        <v>184.57</v>
      </c>
      <c r="E1339" s="11">
        <v>49</v>
      </c>
      <c r="F1339" s="11">
        <v>9043.93</v>
      </c>
      <c r="G1339" s="12">
        <v>45318</v>
      </c>
      <c r="H1339" s="12">
        <v>45242</v>
      </c>
      <c r="I1339" t="e">
        <f t="shared" si="20"/>
        <v>#NUM!</v>
      </c>
    </row>
    <row r="1340" spans="1:9" x14ac:dyDescent="0.3">
      <c r="A1340" s="11">
        <v>94226</v>
      </c>
      <c r="B1340" s="11" t="s">
        <v>19</v>
      </c>
      <c r="C1340" s="11" t="s">
        <v>69</v>
      </c>
      <c r="D1340" s="11">
        <v>158.66999999999999</v>
      </c>
      <c r="E1340" s="11">
        <v>5</v>
      </c>
      <c r="F1340" s="11">
        <v>793.35</v>
      </c>
      <c r="G1340" s="12">
        <v>45236</v>
      </c>
      <c r="H1340" s="12">
        <v>45492</v>
      </c>
      <c r="I1340">
        <f t="shared" si="20"/>
        <v>1</v>
      </c>
    </row>
    <row r="1341" spans="1:9" x14ac:dyDescent="0.3">
      <c r="A1341" s="11">
        <v>65751</v>
      </c>
      <c r="B1341" s="11" t="s">
        <v>23</v>
      </c>
      <c r="C1341" s="11" t="s">
        <v>38</v>
      </c>
      <c r="D1341" s="11">
        <v>233.83</v>
      </c>
      <c r="E1341" s="11">
        <v>4</v>
      </c>
      <c r="F1341" s="11">
        <v>935.32</v>
      </c>
      <c r="G1341" s="12">
        <v>45652</v>
      </c>
      <c r="H1341" s="12">
        <v>45641</v>
      </c>
      <c r="I1341" t="e">
        <f t="shared" si="20"/>
        <v>#NUM!</v>
      </c>
    </row>
    <row r="1342" spans="1:9" x14ac:dyDescent="0.3">
      <c r="A1342" s="11">
        <v>24381</v>
      </c>
      <c r="B1342" s="11" t="s">
        <v>21</v>
      </c>
      <c r="C1342" s="11" t="s">
        <v>36</v>
      </c>
      <c r="D1342" s="11">
        <v>596.97</v>
      </c>
      <c r="E1342" s="11">
        <v>22</v>
      </c>
      <c r="F1342" s="11">
        <v>13133.34</v>
      </c>
      <c r="G1342" s="12">
        <v>45008</v>
      </c>
      <c r="H1342" s="12">
        <v>45357</v>
      </c>
      <c r="I1342">
        <f t="shared" si="20"/>
        <v>1</v>
      </c>
    </row>
    <row r="1343" spans="1:9" x14ac:dyDescent="0.3">
      <c r="A1343" s="11">
        <v>17368</v>
      </c>
      <c r="B1343" s="11" t="s">
        <v>24</v>
      </c>
      <c r="C1343" s="11" t="s">
        <v>32</v>
      </c>
      <c r="D1343" s="11">
        <v>546.64</v>
      </c>
      <c r="E1343" s="11">
        <v>18</v>
      </c>
      <c r="F1343" s="11">
        <v>9839.52</v>
      </c>
      <c r="G1343" s="12">
        <v>45635</v>
      </c>
      <c r="H1343" s="12">
        <v>45246</v>
      </c>
      <c r="I1343" t="e">
        <f t="shared" si="20"/>
        <v>#NUM!</v>
      </c>
    </row>
    <row r="1344" spans="1:9" x14ac:dyDescent="0.3">
      <c r="A1344" s="11">
        <v>87058</v>
      </c>
      <c r="B1344" s="11" t="s">
        <v>20</v>
      </c>
      <c r="C1344" s="11" t="s">
        <v>57</v>
      </c>
      <c r="D1344" s="11">
        <v>404.9</v>
      </c>
      <c r="E1344" s="11">
        <v>14</v>
      </c>
      <c r="F1344" s="11">
        <v>5668.6</v>
      </c>
      <c r="G1344" s="12">
        <v>45558</v>
      </c>
      <c r="H1344" s="12">
        <v>45564</v>
      </c>
      <c r="I1344">
        <f t="shared" si="20"/>
        <v>0</v>
      </c>
    </row>
    <row r="1345" spans="1:9" x14ac:dyDescent="0.3">
      <c r="A1345" s="11">
        <v>99220</v>
      </c>
      <c r="B1345" s="11" t="s">
        <v>16</v>
      </c>
      <c r="C1345" s="11" t="s">
        <v>35</v>
      </c>
      <c r="D1345" s="11">
        <v>101.12</v>
      </c>
      <c r="E1345" s="11">
        <v>41</v>
      </c>
      <c r="F1345" s="11">
        <v>4145.92</v>
      </c>
      <c r="G1345" s="12">
        <v>45007</v>
      </c>
      <c r="H1345" s="12">
        <v>45172</v>
      </c>
      <c r="I1345">
        <f t="shared" si="20"/>
        <v>1</v>
      </c>
    </row>
    <row r="1346" spans="1:9" x14ac:dyDescent="0.3">
      <c r="A1346" s="11">
        <v>65785</v>
      </c>
      <c r="B1346" s="11" t="s">
        <v>23</v>
      </c>
      <c r="C1346" s="11" t="s">
        <v>61</v>
      </c>
      <c r="D1346" s="11">
        <v>705.68</v>
      </c>
      <c r="E1346" s="11">
        <v>34</v>
      </c>
      <c r="F1346" s="11">
        <v>23993.119999999999</v>
      </c>
      <c r="G1346" s="12">
        <v>45615</v>
      </c>
      <c r="H1346" s="12">
        <v>45034</v>
      </c>
      <c r="I1346" t="e">
        <f t="shared" si="20"/>
        <v>#NUM!</v>
      </c>
    </row>
    <row r="1347" spans="1:9" x14ac:dyDescent="0.3">
      <c r="A1347" s="11">
        <v>32560</v>
      </c>
      <c r="B1347" s="11" t="s">
        <v>20</v>
      </c>
      <c r="C1347" s="11" t="s">
        <v>42</v>
      </c>
      <c r="D1347" s="11">
        <v>112.52</v>
      </c>
      <c r="E1347" s="11">
        <v>40</v>
      </c>
      <c r="F1347" s="11">
        <v>4500.8</v>
      </c>
      <c r="G1347" s="12">
        <v>45326</v>
      </c>
      <c r="H1347" s="12">
        <v>45177</v>
      </c>
      <c r="I1347" t="e">
        <f t="shared" ref="I1347:I1410" si="21">IF(DATEDIF(G1347,H1347,"d") &gt; 15,1,0)</f>
        <v>#NUM!</v>
      </c>
    </row>
    <row r="1348" spans="1:9" x14ac:dyDescent="0.3">
      <c r="A1348" s="11">
        <v>15852</v>
      </c>
      <c r="B1348" s="11" t="s">
        <v>16</v>
      </c>
      <c r="C1348" s="11" t="s">
        <v>77</v>
      </c>
      <c r="D1348" s="11">
        <v>761.92</v>
      </c>
      <c r="E1348" s="11">
        <v>42</v>
      </c>
      <c r="F1348" s="11">
        <v>32000.639999999999</v>
      </c>
      <c r="G1348" s="12">
        <v>45453</v>
      </c>
      <c r="H1348" s="12">
        <v>44960</v>
      </c>
      <c r="I1348" t="e">
        <f t="shared" si="21"/>
        <v>#NUM!</v>
      </c>
    </row>
    <row r="1349" spans="1:9" x14ac:dyDescent="0.3">
      <c r="A1349" s="11">
        <v>53400</v>
      </c>
      <c r="B1349" s="11" t="s">
        <v>20</v>
      </c>
      <c r="C1349" s="11" t="s">
        <v>76</v>
      </c>
      <c r="D1349" s="11">
        <v>95.12</v>
      </c>
      <c r="E1349" s="11">
        <v>30</v>
      </c>
      <c r="F1349" s="11">
        <v>2853.6</v>
      </c>
      <c r="G1349" s="12">
        <v>45404</v>
      </c>
      <c r="H1349" s="12">
        <v>45129</v>
      </c>
      <c r="I1349" t="e">
        <f t="shared" si="21"/>
        <v>#NUM!</v>
      </c>
    </row>
    <row r="1350" spans="1:9" x14ac:dyDescent="0.3">
      <c r="A1350" s="11">
        <v>77945</v>
      </c>
      <c r="B1350" s="11" t="s">
        <v>22</v>
      </c>
      <c r="C1350" s="11" t="s">
        <v>77</v>
      </c>
      <c r="D1350" s="11">
        <v>761.92</v>
      </c>
      <c r="E1350" s="11">
        <v>34</v>
      </c>
      <c r="F1350" s="11">
        <v>25905.279999999999</v>
      </c>
      <c r="G1350" s="12">
        <v>45077</v>
      </c>
      <c r="H1350" s="12">
        <v>45412</v>
      </c>
      <c r="I1350">
        <f t="shared" si="21"/>
        <v>1</v>
      </c>
    </row>
    <row r="1351" spans="1:9" x14ac:dyDescent="0.3">
      <c r="A1351" s="11">
        <v>67833</v>
      </c>
      <c r="B1351" s="11" t="s">
        <v>14</v>
      </c>
      <c r="C1351" s="11" t="s">
        <v>56</v>
      </c>
      <c r="D1351" s="11">
        <v>641.34</v>
      </c>
      <c r="E1351" s="11">
        <v>11</v>
      </c>
      <c r="F1351" s="11">
        <v>7054.74</v>
      </c>
      <c r="G1351" s="12">
        <v>45249</v>
      </c>
      <c r="H1351" s="12">
        <v>45332</v>
      </c>
      <c r="I1351">
        <f t="shared" si="21"/>
        <v>1</v>
      </c>
    </row>
    <row r="1352" spans="1:9" x14ac:dyDescent="0.3">
      <c r="A1352" s="11">
        <v>84649</v>
      </c>
      <c r="B1352" s="11" t="s">
        <v>15</v>
      </c>
      <c r="C1352" s="11" t="s">
        <v>38</v>
      </c>
      <c r="D1352" s="11">
        <v>233.83</v>
      </c>
      <c r="E1352" s="11">
        <v>6</v>
      </c>
      <c r="F1352" s="11">
        <v>1402.98</v>
      </c>
      <c r="G1352" s="12">
        <v>45271</v>
      </c>
      <c r="H1352" s="12">
        <v>45236</v>
      </c>
      <c r="I1352" t="e">
        <f t="shared" si="21"/>
        <v>#NUM!</v>
      </c>
    </row>
    <row r="1353" spans="1:9" x14ac:dyDescent="0.3">
      <c r="A1353" s="11">
        <v>26434</v>
      </c>
      <c r="B1353" s="11" t="s">
        <v>17</v>
      </c>
      <c r="C1353" s="11" t="s">
        <v>38</v>
      </c>
      <c r="D1353" s="11">
        <v>233.83</v>
      </c>
      <c r="E1353" s="11">
        <v>5</v>
      </c>
      <c r="F1353" s="11">
        <v>1169.1500000000001</v>
      </c>
      <c r="G1353" s="12">
        <v>45012</v>
      </c>
      <c r="H1353" s="12">
        <v>45266</v>
      </c>
      <c r="I1353">
        <f t="shared" si="21"/>
        <v>1</v>
      </c>
    </row>
    <row r="1354" spans="1:9" x14ac:dyDescent="0.3">
      <c r="A1354" s="11">
        <v>98008</v>
      </c>
      <c r="B1354" s="11" t="s">
        <v>16</v>
      </c>
      <c r="C1354" s="11" t="s">
        <v>38</v>
      </c>
      <c r="D1354" s="11">
        <v>233.83</v>
      </c>
      <c r="E1354" s="11">
        <v>26</v>
      </c>
      <c r="F1354" s="11">
        <v>6079.58</v>
      </c>
      <c r="G1354" s="12">
        <v>45293</v>
      </c>
      <c r="H1354" s="12">
        <v>45115</v>
      </c>
      <c r="I1354" t="e">
        <f t="shared" si="21"/>
        <v>#NUM!</v>
      </c>
    </row>
    <row r="1355" spans="1:9" x14ac:dyDescent="0.3">
      <c r="A1355" s="11">
        <v>97526</v>
      </c>
      <c r="B1355" s="11" t="s">
        <v>13</v>
      </c>
      <c r="C1355" s="11" t="s">
        <v>32</v>
      </c>
      <c r="D1355" s="11">
        <v>546.64</v>
      </c>
      <c r="E1355" s="11">
        <v>33</v>
      </c>
      <c r="F1355" s="11">
        <v>18039.12</v>
      </c>
      <c r="G1355" s="12">
        <v>45546</v>
      </c>
      <c r="H1355" s="12">
        <v>45433</v>
      </c>
      <c r="I1355" t="e">
        <f t="shared" si="21"/>
        <v>#NUM!</v>
      </c>
    </row>
    <row r="1356" spans="1:9" x14ac:dyDescent="0.3">
      <c r="A1356" s="11">
        <v>33865</v>
      </c>
      <c r="B1356" s="11" t="s">
        <v>14</v>
      </c>
      <c r="C1356" s="11" t="s">
        <v>31</v>
      </c>
      <c r="D1356" s="11">
        <v>449.74</v>
      </c>
      <c r="E1356" s="11">
        <v>20</v>
      </c>
      <c r="F1356" s="11">
        <v>8994.7999999999993</v>
      </c>
      <c r="G1356" s="12">
        <v>45084</v>
      </c>
      <c r="H1356" s="12">
        <v>45380</v>
      </c>
      <c r="I1356">
        <f t="shared" si="21"/>
        <v>1</v>
      </c>
    </row>
    <row r="1357" spans="1:9" x14ac:dyDescent="0.3">
      <c r="A1357" s="11">
        <v>47824</v>
      </c>
      <c r="B1357" s="11" t="s">
        <v>20</v>
      </c>
      <c r="C1357" s="11" t="s">
        <v>48</v>
      </c>
      <c r="D1357" s="11">
        <v>93.68</v>
      </c>
      <c r="E1357" s="11">
        <v>48</v>
      </c>
      <c r="F1357" s="11">
        <v>4496.6400000000003</v>
      </c>
      <c r="G1357" s="12">
        <v>44981</v>
      </c>
      <c r="H1357" s="12">
        <v>45287</v>
      </c>
      <c r="I1357">
        <f t="shared" si="21"/>
        <v>1</v>
      </c>
    </row>
    <row r="1358" spans="1:9" x14ac:dyDescent="0.3">
      <c r="A1358" s="11">
        <v>63911</v>
      </c>
      <c r="B1358" s="11" t="s">
        <v>19</v>
      </c>
      <c r="C1358" s="11" t="s">
        <v>66</v>
      </c>
      <c r="D1358" s="11">
        <v>45.72</v>
      </c>
      <c r="E1358" s="11">
        <v>26</v>
      </c>
      <c r="F1358" s="11">
        <v>1188.72</v>
      </c>
      <c r="G1358" s="12">
        <v>45210</v>
      </c>
      <c r="H1358" s="12">
        <v>45419</v>
      </c>
      <c r="I1358">
        <f t="shared" si="21"/>
        <v>1</v>
      </c>
    </row>
    <row r="1359" spans="1:9" x14ac:dyDescent="0.3">
      <c r="A1359" s="11">
        <v>53358</v>
      </c>
      <c r="B1359" s="11" t="s">
        <v>22</v>
      </c>
      <c r="C1359" s="11" t="s">
        <v>75</v>
      </c>
      <c r="D1359" s="11">
        <v>325</v>
      </c>
      <c r="E1359" s="11">
        <v>34</v>
      </c>
      <c r="F1359" s="11">
        <v>11050</v>
      </c>
      <c r="G1359" s="12">
        <v>45326</v>
      </c>
      <c r="H1359" s="12">
        <v>45224</v>
      </c>
      <c r="I1359" t="e">
        <f t="shared" si="21"/>
        <v>#NUM!</v>
      </c>
    </row>
    <row r="1360" spans="1:9" x14ac:dyDescent="0.3">
      <c r="A1360" s="11">
        <v>64898</v>
      </c>
      <c r="B1360" s="11" t="s">
        <v>17</v>
      </c>
      <c r="C1360" s="11" t="s">
        <v>75</v>
      </c>
      <c r="D1360" s="11">
        <v>325</v>
      </c>
      <c r="E1360" s="11">
        <v>44</v>
      </c>
      <c r="F1360" s="11">
        <v>14300</v>
      </c>
      <c r="G1360" s="12">
        <v>45019</v>
      </c>
      <c r="H1360" s="12">
        <v>45301</v>
      </c>
      <c r="I1360">
        <f t="shared" si="21"/>
        <v>1</v>
      </c>
    </row>
    <row r="1361" spans="1:9" x14ac:dyDescent="0.3">
      <c r="A1361" s="11">
        <v>54907</v>
      </c>
      <c r="B1361" s="11" t="s">
        <v>8</v>
      </c>
      <c r="C1361" s="11" t="s">
        <v>64</v>
      </c>
      <c r="D1361" s="11">
        <v>796.51</v>
      </c>
      <c r="E1361" s="11">
        <v>14</v>
      </c>
      <c r="F1361" s="11">
        <v>11151.14</v>
      </c>
      <c r="G1361" s="12">
        <v>44959</v>
      </c>
      <c r="H1361" s="12">
        <v>45205</v>
      </c>
      <c r="I1361">
        <f t="shared" si="21"/>
        <v>1</v>
      </c>
    </row>
    <row r="1362" spans="1:9" x14ac:dyDescent="0.3">
      <c r="A1362" s="11">
        <v>85896</v>
      </c>
      <c r="B1362" s="11" t="s">
        <v>13</v>
      </c>
      <c r="C1362" s="11" t="s">
        <v>49</v>
      </c>
      <c r="D1362" s="11">
        <v>534.77</v>
      </c>
      <c r="E1362" s="11">
        <v>32</v>
      </c>
      <c r="F1362" s="11">
        <v>17112.64</v>
      </c>
      <c r="G1362" s="12">
        <v>45339</v>
      </c>
      <c r="H1362" s="12">
        <v>45280</v>
      </c>
      <c r="I1362" t="e">
        <f t="shared" si="21"/>
        <v>#NUM!</v>
      </c>
    </row>
    <row r="1363" spans="1:9" x14ac:dyDescent="0.3">
      <c r="A1363" s="11">
        <v>76453</v>
      </c>
      <c r="B1363" s="11" t="s">
        <v>18</v>
      </c>
      <c r="C1363" s="11" t="s">
        <v>40</v>
      </c>
      <c r="D1363" s="11">
        <v>875.47</v>
      </c>
      <c r="E1363" s="11">
        <v>12</v>
      </c>
      <c r="F1363" s="11">
        <v>10505.64</v>
      </c>
      <c r="G1363" s="12">
        <v>44952</v>
      </c>
      <c r="H1363" s="12">
        <v>45434</v>
      </c>
      <c r="I1363">
        <f t="shared" si="21"/>
        <v>1</v>
      </c>
    </row>
    <row r="1364" spans="1:9" x14ac:dyDescent="0.3">
      <c r="A1364" s="11">
        <v>63527</v>
      </c>
      <c r="B1364" s="11" t="s">
        <v>21</v>
      </c>
      <c r="C1364" s="11" t="s">
        <v>38</v>
      </c>
      <c r="D1364" s="11">
        <v>233.83</v>
      </c>
      <c r="E1364" s="11">
        <v>40</v>
      </c>
      <c r="F1364" s="11">
        <v>9353.2000000000007</v>
      </c>
      <c r="G1364" s="12">
        <v>45277</v>
      </c>
      <c r="H1364" s="12">
        <v>45197</v>
      </c>
      <c r="I1364" t="e">
        <f t="shared" si="21"/>
        <v>#NUM!</v>
      </c>
    </row>
    <row r="1365" spans="1:9" x14ac:dyDescent="0.3">
      <c r="A1365" s="11">
        <v>53639</v>
      </c>
      <c r="B1365" s="11" t="s">
        <v>24</v>
      </c>
      <c r="C1365" s="11" t="s">
        <v>36</v>
      </c>
      <c r="D1365" s="11">
        <v>596.97</v>
      </c>
      <c r="E1365" s="11">
        <v>46</v>
      </c>
      <c r="F1365" s="11">
        <v>27460.62</v>
      </c>
      <c r="G1365" s="12">
        <v>45252</v>
      </c>
      <c r="H1365" s="12">
        <v>45289</v>
      </c>
      <c r="I1365">
        <f t="shared" si="21"/>
        <v>1</v>
      </c>
    </row>
    <row r="1366" spans="1:9" x14ac:dyDescent="0.3">
      <c r="A1366" s="11">
        <v>44028</v>
      </c>
      <c r="B1366" s="11" t="s">
        <v>18</v>
      </c>
      <c r="C1366" s="11" t="s">
        <v>63</v>
      </c>
      <c r="D1366" s="11">
        <v>611.66</v>
      </c>
      <c r="E1366" s="11">
        <v>10</v>
      </c>
      <c r="F1366" s="11">
        <v>6116.6</v>
      </c>
      <c r="G1366" s="12">
        <v>44982</v>
      </c>
      <c r="H1366" s="12">
        <v>45588</v>
      </c>
      <c r="I1366">
        <f t="shared" si="21"/>
        <v>1</v>
      </c>
    </row>
    <row r="1367" spans="1:9" x14ac:dyDescent="0.3">
      <c r="A1367" s="11">
        <v>22331</v>
      </c>
      <c r="B1367" s="11" t="s">
        <v>8</v>
      </c>
      <c r="C1367" s="11" t="s">
        <v>59</v>
      </c>
      <c r="D1367" s="11">
        <v>346.37</v>
      </c>
      <c r="E1367" s="11">
        <v>33</v>
      </c>
      <c r="F1367" s="11">
        <v>11430.21</v>
      </c>
      <c r="G1367" s="12">
        <v>45436</v>
      </c>
      <c r="H1367" s="12">
        <v>45119</v>
      </c>
      <c r="I1367" t="e">
        <f t="shared" si="21"/>
        <v>#NUM!</v>
      </c>
    </row>
    <row r="1368" spans="1:9" x14ac:dyDescent="0.3">
      <c r="A1368" s="11">
        <v>22975</v>
      </c>
      <c r="B1368" s="11" t="s">
        <v>22</v>
      </c>
      <c r="C1368" s="11" t="s">
        <v>70</v>
      </c>
      <c r="D1368" s="11">
        <v>430.1</v>
      </c>
      <c r="E1368" s="11">
        <v>18</v>
      </c>
      <c r="F1368" s="11">
        <v>7741.8</v>
      </c>
      <c r="G1368" s="12">
        <v>44985</v>
      </c>
      <c r="H1368" s="12">
        <v>45177</v>
      </c>
      <c r="I1368">
        <f t="shared" si="21"/>
        <v>1</v>
      </c>
    </row>
    <row r="1369" spans="1:9" x14ac:dyDescent="0.3">
      <c r="A1369" s="11">
        <v>90601</v>
      </c>
      <c r="B1369" s="11" t="s">
        <v>17</v>
      </c>
      <c r="C1369" s="11" t="s">
        <v>57</v>
      </c>
      <c r="D1369" s="11">
        <v>404.9</v>
      </c>
      <c r="E1369" s="11">
        <v>1</v>
      </c>
      <c r="F1369" s="11">
        <v>404.9</v>
      </c>
      <c r="G1369" s="12">
        <v>45322</v>
      </c>
      <c r="H1369" s="12">
        <v>45326</v>
      </c>
      <c r="I1369">
        <f t="shared" si="21"/>
        <v>0</v>
      </c>
    </row>
    <row r="1370" spans="1:9" x14ac:dyDescent="0.3">
      <c r="A1370" s="11">
        <v>22989</v>
      </c>
      <c r="B1370" s="11" t="s">
        <v>8</v>
      </c>
      <c r="C1370" s="11" t="s">
        <v>73</v>
      </c>
      <c r="D1370" s="11">
        <v>890.84</v>
      </c>
      <c r="E1370" s="11">
        <v>30</v>
      </c>
      <c r="F1370" s="11">
        <v>26725.200000000001</v>
      </c>
      <c r="G1370" s="12">
        <v>45060</v>
      </c>
      <c r="H1370" s="12">
        <v>45106</v>
      </c>
      <c r="I1370">
        <f t="shared" si="21"/>
        <v>1</v>
      </c>
    </row>
    <row r="1371" spans="1:9" x14ac:dyDescent="0.3">
      <c r="A1371" s="11">
        <v>38182</v>
      </c>
      <c r="B1371" s="11" t="s">
        <v>16</v>
      </c>
      <c r="C1371" s="11" t="s">
        <v>40</v>
      </c>
      <c r="D1371" s="11">
        <v>875.47</v>
      </c>
      <c r="E1371" s="11">
        <v>31</v>
      </c>
      <c r="F1371" s="11">
        <v>27139.57</v>
      </c>
      <c r="G1371" s="12">
        <v>45037</v>
      </c>
      <c r="H1371" s="12">
        <v>45286</v>
      </c>
      <c r="I1371">
        <f t="shared" si="21"/>
        <v>1</v>
      </c>
    </row>
    <row r="1372" spans="1:9" x14ac:dyDescent="0.3">
      <c r="A1372" s="11">
        <v>41743</v>
      </c>
      <c r="B1372" s="11" t="s">
        <v>20</v>
      </c>
      <c r="C1372" s="11" t="s">
        <v>48</v>
      </c>
      <c r="D1372" s="11">
        <v>93.68</v>
      </c>
      <c r="E1372" s="11">
        <v>9</v>
      </c>
      <c r="F1372" s="11">
        <v>843.12</v>
      </c>
      <c r="G1372" s="12">
        <v>45500</v>
      </c>
      <c r="H1372" s="12">
        <v>45200</v>
      </c>
      <c r="I1372" t="e">
        <f t="shared" si="21"/>
        <v>#NUM!</v>
      </c>
    </row>
    <row r="1373" spans="1:9" x14ac:dyDescent="0.3">
      <c r="A1373" s="11">
        <v>37964</v>
      </c>
      <c r="B1373" s="11" t="s">
        <v>22</v>
      </c>
      <c r="C1373" s="11" t="s">
        <v>69</v>
      </c>
      <c r="D1373" s="11">
        <v>158.66999999999999</v>
      </c>
      <c r="E1373" s="11">
        <v>4</v>
      </c>
      <c r="F1373" s="11">
        <v>634.67999999999995</v>
      </c>
      <c r="G1373" s="12">
        <v>45086</v>
      </c>
      <c r="H1373" s="12">
        <v>45538</v>
      </c>
      <c r="I1373">
        <f t="shared" si="21"/>
        <v>1</v>
      </c>
    </row>
    <row r="1374" spans="1:9" x14ac:dyDescent="0.3">
      <c r="A1374" s="11">
        <v>92261</v>
      </c>
      <c r="B1374" s="11" t="s">
        <v>19</v>
      </c>
      <c r="C1374" s="11" t="s">
        <v>66</v>
      </c>
      <c r="D1374" s="11">
        <v>45.72</v>
      </c>
      <c r="E1374" s="11">
        <v>23</v>
      </c>
      <c r="F1374" s="11">
        <v>1051.56</v>
      </c>
      <c r="G1374" s="12">
        <v>45609</v>
      </c>
      <c r="H1374" s="12">
        <v>44971</v>
      </c>
      <c r="I1374" t="e">
        <f t="shared" si="21"/>
        <v>#NUM!</v>
      </c>
    </row>
    <row r="1375" spans="1:9" x14ac:dyDescent="0.3">
      <c r="A1375" s="11">
        <v>13114</v>
      </c>
      <c r="B1375" s="11" t="s">
        <v>15</v>
      </c>
      <c r="C1375" s="11" t="s">
        <v>48</v>
      </c>
      <c r="D1375" s="11">
        <v>93.68</v>
      </c>
      <c r="E1375" s="11">
        <v>14</v>
      </c>
      <c r="F1375" s="11">
        <v>1311.52</v>
      </c>
      <c r="G1375" s="12">
        <v>45286</v>
      </c>
      <c r="H1375" s="12">
        <v>45340</v>
      </c>
      <c r="I1375">
        <f t="shared" si="21"/>
        <v>1</v>
      </c>
    </row>
    <row r="1376" spans="1:9" x14ac:dyDescent="0.3">
      <c r="A1376" s="11">
        <v>47618</v>
      </c>
      <c r="B1376" s="11" t="s">
        <v>24</v>
      </c>
      <c r="C1376" s="11" t="s">
        <v>49</v>
      </c>
      <c r="D1376" s="11">
        <v>534.77</v>
      </c>
      <c r="E1376" s="11">
        <v>43</v>
      </c>
      <c r="F1376" s="11">
        <v>22995.11</v>
      </c>
      <c r="G1376" s="12">
        <v>45295</v>
      </c>
      <c r="H1376" s="12">
        <v>45523</v>
      </c>
      <c r="I1376">
        <f t="shared" si="21"/>
        <v>1</v>
      </c>
    </row>
    <row r="1377" spans="1:9" x14ac:dyDescent="0.3">
      <c r="A1377" s="11">
        <v>72143</v>
      </c>
      <c r="B1377" s="11" t="s">
        <v>10</v>
      </c>
      <c r="C1377" s="11" t="s">
        <v>48</v>
      </c>
      <c r="D1377" s="11">
        <v>93.68</v>
      </c>
      <c r="E1377" s="11">
        <v>35</v>
      </c>
      <c r="F1377" s="11">
        <v>3278.8</v>
      </c>
      <c r="G1377" s="12">
        <v>45508</v>
      </c>
      <c r="H1377" s="12">
        <v>45040</v>
      </c>
      <c r="I1377" t="e">
        <f t="shared" si="21"/>
        <v>#NUM!</v>
      </c>
    </row>
    <row r="1378" spans="1:9" x14ac:dyDescent="0.3">
      <c r="A1378" s="11">
        <v>65315</v>
      </c>
      <c r="B1378" s="11" t="s">
        <v>14</v>
      </c>
      <c r="C1378" s="11" t="s">
        <v>50</v>
      </c>
      <c r="D1378" s="11">
        <v>468.95</v>
      </c>
      <c r="E1378" s="11">
        <v>24</v>
      </c>
      <c r="F1378" s="11">
        <v>11254.8</v>
      </c>
      <c r="G1378" s="12">
        <v>45395</v>
      </c>
      <c r="H1378" s="12">
        <v>45384</v>
      </c>
      <c r="I1378" t="e">
        <f t="shared" si="21"/>
        <v>#NUM!</v>
      </c>
    </row>
    <row r="1379" spans="1:9" x14ac:dyDescent="0.3">
      <c r="A1379" s="11">
        <v>93811</v>
      </c>
      <c r="B1379" s="11" t="s">
        <v>21</v>
      </c>
      <c r="C1379" s="11" t="s">
        <v>68</v>
      </c>
      <c r="D1379" s="11">
        <v>795.19</v>
      </c>
      <c r="E1379" s="11">
        <v>36</v>
      </c>
      <c r="F1379" s="11">
        <v>28626.84</v>
      </c>
      <c r="G1379" s="12">
        <v>45426</v>
      </c>
      <c r="H1379" s="12">
        <v>45501</v>
      </c>
      <c r="I1379">
        <f t="shared" si="21"/>
        <v>1</v>
      </c>
    </row>
    <row r="1380" spans="1:9" x14ac:dyDescent="0.3">
      <c r="A1380" s="11">
        <v>42174</v>
      </c>
      <c r="B1380" s="11" t="s">
        <v>21</v>
      </c>
      <c r="C1380" s="11" t="s">
        <v>52</v>
      </c>
      <c r="D1380" s="11">
        <v>323.73</v>
      </c>
      <c r="E1380" s="11">
        <v>15</v>
      </c>
      <c r="F1380" s="11">
        <v>4855.95</v>
      </c>
      <c r="G1380" s="12">
        <v>45131</v>
      </c>
      <c r="H1380" s="12">
        <v>45035</v>
      </c>
      <c r="I1380" t="e">
        <f t="shared" si="21"/>
        <v>#NUM!</v>
      </c>
    </row>
    <row r="1381" spans="1:9" x14ac:dyDescent="0.3">
      <c r="A1381" s="11">
        <v>32187</v>
      </c>
      <c r="B1381" s="11" t="s">
        <v>21</v>
      </c>
      <c r="C1381" s="11" t="s">
        <v>32</v>
      </c>
      <c r="D1381" s="11">
        <v>546.64</v>
      </c>
      <c r="E1381" s="11">
        <v>23</v>
      </c>
      <c r="F1381" s="11">
        <v>12572.72</v>
      </c>
      <c r="G1381" s="12">
        <v>45575</v>
      </c>
      <c r="H1381" s="12">
        <v>45099</v>
      </c>
      <c r="I1381" t="e">
        <f t="shared" si="21"/>
        <v>#NUM!</v>
      </c>
    </row>
    <row r="1382" spans="1:9" x14ac:dyDescent="0.3">
      <c r="A1382" s="11">
        <v>44983</v>
      </c>
      <c r="B1382" s="11" t="s">
        <v>26</v>
      </c>
      <c r="C1382" s="11" t="s">
        <v>38</v>
      </c>
      <c r="D1382" s="11">
        <v>233.83</v>
      </c>
      <c r="E1382" s="11">
        <v>19</v>
      </c>
      <c r="F1382" s="11">
        <v>4442.7700000000004</v>
      </c>
      <c r="G1382" s="12">
        <v>45399</v>
      </c>
      <c r="H1382" s="12">
        <v>45449</v>
      </c>
      <c r="I1382">
        <f t="shared" si="21"/>
        <v>1</v>
      </c>
    </row>
    <row r="1383" spans="1:9" x14ac:dyDescent="0.3">
      <c r="A1383" s="11">
        <v>19098</v>
      </c>
      <c r="B1383" s="11" t="s">
        <v>11</v>
      </c>
      <c r="C1383" s="11" t="s">
        <v>56</v>
      </c>
      <c r="D1383" s="11">
        <v>641.34</v>
      </c>
      <c r="E1383" s="11">
        <v>30</v>
      </c>
      <c r="F1383" s="11">
        <v>19240.2</v>
      </c>
      <c r="G1383" s="12">
        <v>45293</v>
      </c>
      <c r="H1383" s="12">
        <v>45428</v>
      </c>
      <c r="I1383">
        <f t="shared" si="21"/>
        <v>1</v>
      </c>
    </row>
    <row r="1384" spans="1:9" x14ac:dyDescent="0.3">
      <c r="A1384" s="11">
        <v>40515</v>
      </c>
      <c r="B1384" s="11" t="s">
        <v>25</v>
      </c>
      <c r="C1384" s="11" t="s">
        <v>31</v>
      </c>
      <c r="D1384" s="11">
        <v>449.74</v>
      </c>
      <c r="E1384" s="11">
        <v>27</v>
      </c>
      <c r="F1384" s="11">
        <v>12142.98</v>
      </c>
      <c r="G1384" s="12">
        <v>45125</v>
      </c>
      <c r="H1384" s="12">
        <v>45587</v>
      </c>
      <c r="I1384">
        <f t="shared" si="21"/>
        <v>1</v>
      </c>
    </row>
    <row r="1385" spans="1:9" x14ac:dyDescent="0.3">
      <c r="A1385" s="11">
        <v>30002</v>
      </c>
      <c r="B1385" s="11" t="s">
        <v>23</v>
      </c>
      <c r="C1385" s="11" t="s">
        <v>51</v>
      </c>
      <c r="D1385" s="11">
        <v>533.15</v>
      </c>
      <c r="E1385" s="11">
        <v>6</v>
      </c>
      <c r="F1385" s="11">
        <v>3198.9</v>
      </c>
      <c r="G1385" s="12">
        <v>45450</v>
      </c>
      <c r="H1385" s="12">
        <v>44975</v>
      </c>
      <c r="I1385" t="e">
        <f t="shared" si="21"/>
        <v>#NUM!</v>
      </c>
    </row>
    <row r="1386" spans="1:9" x14ac:dyDescent="0.3">
      <c r="A1386" s="11">
        <v>52198</v>
      </c>
      <c r="B1386" s="11" t="s">
        <v>10</v>
      </c>
      <c r="C1386" s="11" t="s">
        <v>34</v>
      </c>
      <c r="D1386" s="11">
        <v>222.47</v>
      </c>
      <c r="E1386" s="11">
        <v>4</v>
      </c>
      <c r="F1386" s="11">
        <v>889.88</v>
      </c>
      <c r="G1386" s="12">
        <v>45405</v>
      </c>
      <c r="H1386" s="12">
        <v>45408</v>
      </c>
      <c r="I1386">
        <f t="shared" si="21"/>
        <v>0</v>
      </c>
    </row>
    <row r="1387" spans="1:9" x14ac:dyDescent="0.3">
      <c r="A1387" s="11">
        <v>78195</v>
      </c>
      <c r="B1387" s="11" t="s">
        <v>16</v>
      </c>
      <c r="C1387" s="11" t="s">
        <v>73</v>
      </c>
      <c r="D1387" s="11">
        <v>890.84</v>
      </c>
      <c r="E1387" s="11">
        <v>34</v>
      </c>
      <c r="F1387" s="11">
        <v>30288.560000000001</v>
      </c>
      <c r="G1387" s="12">
        <v>45099</v>
      </c>
      <c r="H1387" s="12">
        <v>45505</v>
      </c>
      <c r="I1387">
        <f t="shared" si="21"/>
        <v>1</v>
      </c>
    </row>
    <row r="1388" spans="1:9" x14ac:dyDescent="0.3">
      <c r="A1388" s="11">
        <v>14352</v>
      </c>
      <c r="B1388" s="11" t="s">
        <v>9</v>
      </c>
      <c r="C1388" s="11" t="s">
        <v>54</v>
      </c>
      <c r="D1388" s="11">
        <v>730.09</v>
      </c>
      <c r="E1388" s="11">
        <v>43</v>
      </c>
      <c r="F1388" s="11">
        <v>31393.87</v>
      </c>
      <c r="G1388" s="12">
        <v>45216</v>
      </c>
      <c r="H1388" s="12">
        <v>45290</v>
      </c>
      <c r="I1388">
        <f t="shared" si="21"/>
        <v>1</v>
      </c>
    </row>
    <row r="1389" spans="1:9" x14ac:dyDescent="0.3">
      <c r="A1389" s="11">
        <v>21287</v>
      </c>
      <c r="B1389" s="11" t="s">
        <v>15</v>
      </c>
      <c r="C1389" s="11" t="s">
        <v>74</v>
      </c>
      <c r="D1389" s="11">
        <v>346.4</v>
      </c>
      <c r="E1389" s="11">
        <v>30</v>
      </c>
      <c r="F1389" s="11">
        <v>10392</v>
      </c>
      <c r="G1389" s="12">
        <v>45260</v>
      </c>
      <c r="H1389" s="12">
        <v>45004</v>
      </c>
      <c r="I1389" t="e">
        <f t="shared" si="21"/>
        <v>#NUM!</v>
      </c>
    </row>
    <row r="1390" spans="1:9" x14ac:dyDescent="0.3">
      <c r="A1390" s="11">
        <v>38517</v>
      </c>
      <c r="B1390" s="11" t="s">
        <v>13</v>
      </c>
      <c r="C1390" s="11" t="s">
        <v>66</v>
      </c>
      <c r="D1390" s="11">
        <v>45.72</v>
      </c>
      <c r="E1390" s="11">
        <v>46</v>
      </c>
      <c r="F1390" s="11">
        <v>2103.12</v>
      </c>
      <c r="G1390" s="12">
        <v>45190</v>
      </c>
      <c r="H1390" s="12">
        <v>45041</v>
      </c>
      <c r="I1390" t="e">
        <f t="shared" si="21"/>
        <v>#NUM!</v>
      </c>
    </row>
    <row r="1391" spans="1:9" x14ac:dyDescent="0.3">
      <c r="A1391" s="11">
        <v>70372</v>
      </c>
      <c r="B1391" s="11" t="s">
        <v>20</v>
      </c>
      <c r="C1391" s="11" t="s">
        <v>31</v>
      </c>
      <c r="D1391" s="11">
        <v>449.74</v>
      </c>
      <c r="E1391" s="11">
        <v>49</v>
      </c>
      <c r="F1391" s="11">
        <v>22037.26</v>
      </c>
      <c r="G1391" s="12">
        <v>45212</v>
      </c>
      <c r="H1391" s="12">
        <v>45492</v>
      </c>
      <c r="I1391">
        <f t="shared" si="21"/>
        <v>1</v>
      </c>
    </row>
    <row r="1392" spans="1:9" x14ac:dyDescent="0.3">
      <c r="A1392" s="11">
        <v>40023</v>
      </c>
      <c r="B1392" s="11" t="s">
        <v>12</v>
      </c>
      <c r="C1392" s="11" t="s">
        <v>75</v>
      </c>
      <c r="D1392" s="11">
        <v>325</v>
      </c>
      <c r="E1392" s="11">
        <v>28</v>
      </c>
      <c r="F1392" s="11">
        <v>9100</v>
      </c>
      <c r="G1392" s="12">
        <v>45605</v>
      </c>
      <c r="H1392" s="12">
        <v>45599</v>
      </c>
      <c r="I1392" t="e">
        <f t="shared" si="21"/>
        <v>#NUM!</v>
      </c>
    </row>
    <row r="1393" spans="1:9" x14ac:dyDescent="0.3">
      <c r="A1393" s="11">
        <v>79493</v>
      </c>
      <c r="B1393" s="11" t="s">
        <v>15</v>
      </c>
      <c r="C1393" s="11" t="s">
        <v>66</v>
      </c>
      <c r="D1393" s="11">
        <v>45.72</v>
      </c>
      <c r="E1393" s="11">
        <v>26</v>
      </c>
      <c r="F1393" s="11">
        <v>1188.72</v>
      </c>
      <c r="G1393" s="12">
        <v>45449</v>
      </c>
      <c r="H1393" s="12">
        <v>44982</v>
      </c>
      <c r="I1393" t="e">
        <f t="shared" si="21"/>
        <v>#NUM!</v>
      </c>
    </row>
    <row r="1394" spans="1:9" x14ac:dyDescent="0.3">
      <c r="A1394" s="11">
        <v>53859</v>
      </c>
      <c r="B1394" s="11" t="s">
        <v>11</v>
      </c>
      <c r="C1394" s="11" t="s">
        <v>38</v>
      </c>
      <c r="D1394" s="11">
        <v>233.83</v>
      </c>
      <c r="E1394" s="11">
        <v>42</v>
      </c>
      <c r="F1394" s="11">
        <v>9820.86</v>
      </c>
      <c r="G1394" s="12">
        <v>45315</v>
      </c>
      <c r="H1394" s="12">
        <v>45145</v>
      </c>
      <c r="I1394" t="e">
        <f t="shared" si="21"/>
        <v>#NUM!</v>
      </c>
    </row>
    <row r="1395" spans="1:9" x14ac:dyDescent="0.3">
      <c r="A1395" s="11">
        <v>93238</v>
      </c>
      <c r="B1395" s="11" t="s">
        <v>13</v>
      </c>
      <c r="C1395" s="11" t="s">
        <v>28</v>
      </c>
      <c r="D1395" s="11">
        <v>855.99</v>
      </c>
      <c r="E1395" s="11">
        <v>32</v>
      </c>
      <c r="F1395" s="11">
        <v>27391.68</v>
      </c>
      <c r="G1395" s="12">
        <v>45199</v>
      </c>
      <c r="H1395" s="12">
        <v>45255</v>
      </c>
      <c r="I1395">
        <f t="shared" si="21"/>
        <v>1</v>
      </c>
    </row>
    <row r="1396" spans="1:9" x14ac:dyDescent="0.3">
      <c r="A1396" s="11">
        <v>64188</v>
      </c>
      <c r="B1396" s="11" t="s">
        <v>18</v>
      </c>
      <c r="C1396" s="11" t="s">
        <v>59</v>
      </c>
      <c r="D1396" s="11">
        <v>346.37</v>
      </c>
      <c r="E1396" s="11">
        <v>36</v>
      </c>
      <c r="F1396" s="11">
        <v>12469.32</v>
      </c>
      <c r="G1396" s="12">
        <v>45413</v>
      </c>
      <c r="H1396" s="12">
        <v>45398</v>
      </c>
      <c r="I1396" t="e">
        <f t="shared" si="21"/>
        <v>#NUM!</v>
      </c>
    </row>
    <row r="1397" spans="1:9" x14ac:dyDescent="0.3">
      <c r="A1397" s="11">
        <v>88130</v>
      </c>
      <c r="B1397" s="11" t="s">
        <v>11</v>
      </c>
      <c r="C1397" s="11" t="s">
        <v>45</v>
      </c>
      <c r="D1397" s="11">
        <v>366.3</v>
      </c>
      <c r="E1397" s="11">
        <v>34</v>
      </c>
      <c r="F1397" s="11">
        <v>12454.2</v>
      </c>
      <c r="G1397" s="12">
        <v>45400</v>
      </c>
      <c r="H1397" s="12">
        <v>45151</v>
      </c>
      <c r="I1397" t="e">
        <f t="shared" si="21"/>
        <v>#NUM!</v>
      </c>
    </row>
    <row r="1398" spans="1:9" x14ac:dyDescent="0.3">
      <c r="A1398" s="11">
        <v>93148</v>
      </c>
      <c r="B1398" s="11" t="s">
        <v>9</v>
      </c>
      <c r="C1398" s="11" t="s">
        <v>63</v>
      </c>
      <c r="D1398" s="11">
        <v>611.66</v>
      </c>
      <c r="E1398" s="11">
        <v>27</v>
      </c>
      <c r="F1398" s="11">
        <v>16514.82</v>
      </c>
      <c r="G1398" s="12">
        <v>45047</v>
      </c>
      <c r="H1398" s="12">
        <v>45024</v>
      </c>
      <c r="I1398" t="e">
        <f t="shared" si="21"/>
        <v>#NUM!</v>
      </c>
    </row>
    <row r="1399" spans="1:9" x14ac:dyDescent="0.3">
      <c r="A1399" s="11">
        <v>22271</v>
      </c>
      <c r="B1399" s="11" t="s">
        <v>10</v>
      </c>
      <c r="C1399" s="11" t="s">
        <v>71</v>
      </c>
      <c r="D1399" s="11">
        <v>870.6</v>
      </c>
      <c r="E1399" s="11">
        <v>46</v>
      </c>
      <c r="F1399" s="11">
        <v>40047.599999999999</v>
      </c>
      <c r="G1399" s="12">
        <v>45097</v>
      </c>
      <c r="H1399" s="12">
        <v>45409</v>
      </c>
      <c r="I1399">
        <f t="shared" si="21"/>
        <v>1</v>
      </c>
    </row>
    <row r="1400" spans="1:9" x14ac:dyDescent="0.3">
      <c r="A1400" s="11">
        <v>66081</v>
      </c>
      <c r="B1400" s="11" t="s">
        <v>20</v>
      </c>
      <c r="C1400" s="11" t="s">
        <v>74</v>
      </c>
      <c r="D1400" s="11">
        <v>346.4</v>
      </c>
      <c r="E1400" s="11">
        <v>32</v>
      </c>
      <c r="F1400" s="11">
        <v>11084.8</v>
      </c>
      <c r="G1400" s="12">
        <v>45257</v>
      </c>
      <c r="H1400" s="12">
        <v>45231</v>
      </c>
      <c r="I1400" t="e">
        <f t="shared" si="21"/>
        <v>#NUM!</v>
      </c>
    </row>
    <row r="1401" spans="1:9" x14ac:dyDescent="0.3">
      <c r="A1401" s="11">
        <v>75111</v>
      </c>
      <c r="B1401" s="11" t="s">
        <v>12</v>
      </c>
      <c r="C1401" s="11" t="s">
        <v>52</v>
      </c>
      <c r="D1401" s="11">
        <v>323.73</v>
      </c>
      <c r="E1401" s="11">
        <v>38</v>
      </c>
      <c r="F1401" s="11">
        <v>12301.74</v>
      </c>
      <c r="G1401" s="12">
        <v>44980</v>
      </c>
      <c r="H1401" s="12">
        <v>45506</v>
      </c>
      <c r="I1401">
        <f t="shared" si="21"/>
        <v>1</v>
      </c>
    </row>
    <row r="1402" spans="1:9" x14ac:dyDescent="0.3">
      <c r="A1402" s="11">
        <v>66218</v>
      </c>
      <c r="B1402" s="11" t="s">
        <v>27</v>
      </c>
      <c r="C1402" s="11" t="s">
        <v>44</v>
      </c>
      <c r="D1402" s="11">
        <v>654.4</v>
      </c>
      <c r="E1402" s="11">
        <v>15</v>
      </c>
      <c r="F1402" s="11">
        <v>9816</v>
      </c>
      <c r="G1402" s="12">
        <v>45023</v>
      </c>
      <c r="H1402" s="12">
        <v>45298</v>
      </c>
      <c r="I1402">
        <f t="shared" si="21"/>
        <v>1</v>
      </c>
    </row>
    <row r="1403" spans="1:9" x14ac:dyDescent="0.3">
      <c r="A1403" s="11">
        <v>58676</v>
      </c>
      <c r="B1403" s="11" t="s">
        <v>9</v>
      </c>
      <c r="C1403" s="11" t="s">
        <v>60</v>
      </c>
      <c r="D1403" s="11">
        <v>184.57</v>
      </c>
      <c r="E1403" s="11">
        <v>19</v>
      </c>
      <c r="F1403" s="11">
        <v>3506.83</v>
      </c>
      <c r="G1403" s="12">
        <v>45500</v>
      </c>
      <c r="H1403" s="12">
        <v>45309</v>
      </c>
      <c r="I1403" t="e">
        <f t="shared" si="21"/>
        <v>#NUM!</v>
      </c>
    </row>
    <row r="1404" spans="1:9" x14ac:dyDescent="0.3">
      <c r="A1404" s="11">
        <v>89036</v>
      </c>
      <c r="B1404" s="11" t="s">
        <v>13</v>
      </c>
      <c r="C1404" s="11" t="s">
        <v>33</v>
      </c>
      <c r="D1404" s="11">
        <v>622.16</v>
      </c>
      <c r="E1404" s="11">
        <v>45</v>
      </c>
      <c r="F1404" s="11">
        <v>27997.200000000001</v>
      </c>
      <c r="G1404" s="12">
        <v>45446</v>
      </c>
      <c r="H1404" s="12">
        <v>45092</v>
      </c>
      <c r="I1404" t="e">
        <f t="shared" si="21"/>
        <v>#NUM!</v>
      </c>
    </row>
    <row r="1405" spans="1:9" x14ac:dyDescent="0.3">
      <c r="A1405" s="11">
        <v>15803</v>
      </c>
      <c r="B1405" s="11" t="s">
        <v>23</v>
      </c>
      <c r="C1405" s="11" t="s">
        <v>30</v>
      </c>
      <c r="D1405" s="11">
        <v>68.05</v>
      </c>
      <c r="E1405" s="11">
        <v>5</v>
      </c>
      <c r="F1405" s="11">
        <v>340.25</v>
      </c>
      <c r="G1405" s="12">
        <v>45067</v>
      </c>
      <c r="H1405" s="12">
        <v>45256</v>
      </c>
      <c r="I1405">
        <f t="shared" si="21"/>
        <v>1</v>
      </c>
    </row>
    <row r="1406" spans="1:9" x14ac:dyDescent="0.3">
      <c r="A1406" s="11">
        <v>82484</v>
      </c>
      <c r="B1406" s="11" t="s">
        <v>19</v>
      </c>
      <c r="C1406" s="11" t="s">
        <v>65</v>
      </c>
      <c r="D1406" s="11">
        <v>753.12</v>
      </c>
      <c r="E1406" s="11">
        <v>12</v>
      </c>
      <c r="F1406" s="11">
        <v>9037.44</v>
      </c>
      <c r="G1406" s="12">
        <v>45487</v>
      </c>
      <c r="H1406" s="12">
        <v>45170</v>
      </c>
      <c r="I1406" t="e">
        <f t="shared" si="21"/>
        <v>#NUM!</v>
      </c>
    </row>
    <row r="1407" spans="1:9" x14ac:dyDescent="0.3">
      <c r="A1407" s="11">
        <v>40180</v>
      </c>
      <c r="B1407" s="11" t="s">
        <v>12</v>
      </c>
      <c r="C1407" s="11" t="s">
        <v>77</v>
      </c>
      <c r="D1407" s="11">
        <v>761.92</v>
      </c>
      <c r="E1407" s="11">
        <v>2</v>
      </c>
      <c r="F1407" s="11">
        <v>1523.84</v>
      </c>
      <c r="G1407" s="12">
        <v>45091</v>
      </c>
      <c r="H1407" s="12">
        <v>45642</v>
      </c>
      <c r="I1407">
        <f t="shared" si="21"/>
        <v>1</v>
      </c>
    </row>
    <row r="1408" spans="1:9" x14ac:dyDescent="0.3">
      <c r="A1408" s="11">
        <v>14998</v>
      </c>
      <c r="B1408" s="11" t="s">
        <v>21</v>
      </c>
      <c r="C1408" s="11" t="s">
        <v>73</v>
      </c>
      <c r="D1408" s="11">
        <v>890.84</v>
      </c>
      <c r="E1408" s="11">
        <v>3</v>
      </c>
      <c r="F1408" s="11">
        <v>2672.52</v>
      </c>
      <c r="G1408" s="12">
        <v>45020</v>
      </c>
      <c r="H1408" s="12">
        <v>45627</v>
      </c>
      <c r="I1408">
        <f t="shared" si="21"/>
        <v>1</v>
      </c>
    </row>
    <row r="1409" spans="1:9" x14ac:dyDescent="0.3">
      <c r="A1409" s="11">
        <v>77014</v>
      </c>
      <c r="B1409" s="11" t="s">
        <v>13</v>
      </c>
      <c r="C1409" s="11" t="s">
        <v>55</v>
      </c>
      <c r="D1409" s="11">
        <v>399.32</v>
      </c>
      <c r="E1409" s="11">
        <v>13</v>
      </c>
      <c r="F1409" s="11">
        <v>5191.16</v>
      </c>
      <c r="G1409" s="12">
        <v>44959</v>
      </c>
      <c r="H1409" s="12">
        <v>45633</v>
      </c>
      <c r="I1409">
        <f t="shared" si="21"/>
        <v>1</v>
      </c>
    </row>
    <row r="1410" spans="1:9" x14ac:dyDescent="0.3">
      <c r="A1410" s="11">
        <v>70774</v>
      </c>
      <c r="B1410" s="11" t="s">
        <v>26</v>
      </c>
      <c r="C1410" s="11" t="s">
        <v>54</v>
      </c>
      <c r="D1410" s="11">
        <v>730.09</v>
      </c>
      <c r="E1410" s="11">
        <v>2</v>
      </c>
      <c r="F1410" s="11">
        <v>1460.18</v>
      </c>
      <c r="G1410" s="12">
        <v>45542</v>
      </c>
      <c r="H1410" s="12">
        <v>44964</v>
      </c>
      <c r="I1410" t="e">
        <f t="shared" si="21"/>
        <v>#NUM!</v>
      </c>
    </row>
    <row r="1411" spans="1:9" x14ac:dyDescent="0.3">
      <c r="A1411" s="11">
        <v>30062</v>
      </c>
      <c r="B1411" s="11" t="s">
        <v>19</v>
      </c>
      <c r="C1411" s="11" t="s">
        <v>74</v>
      </c>
      <c r="D1411" s="11">
        <v>346.4</v>
      </c>
      <c r="E1411" s="11">
        <v>9</v>
      </c>
      <c r="F1411" s="11">
        <v>3117.6</v>
      </c>
      <c r="G1411" s="12">
        <v>45148</v>
      </c>
      <c r="H1411" s="12">
        <v>45354</v>
      </c>
      <c r="I1411">
        <f t="shared" ref="I1411:I1474" si="22">IF(DATEDIF(G1411,H1411,"d") &gt; 15,1,0)</f>
        <v>1</v>
      </c>
    </row>
    <row r="1412" spans="1:9" x14ac:dyDescent="0.3">
      <c r="A1412" s="11">
        <v>88856</v>
      </c>
      <c r="B1412" s="11" t="s">
        <v>14</v>
      </c>
      <c r="C1412" s="11" t="s">
        <v>46</v>
      </c>
      <c r="D1412" s="11">
        <v>617.33000000000004</v>
      </c>
      <c r="E1412" s="11">
        <v>50</v>
      </c>
      <c r="F1412" s="11">
        <v>30866.5</v>
      </c>
      <c r="G1412" s="12">
        <v>45179</v>
      </c>
      <c r="H1412" s="12">
        <v>45110</v>
      </c>
      <c r="I1412" t="e">
        <f t="shared" si="22"/>
        <v>#NUM!</v>
      </c>
    </row>
    <row r="1413" spans="1:9" x14ac:dyDescent="0.3">
      <c r="A1413" s="11">
        <v>20851</v>
      </c>
      <c r="B1413" s="11" t="s">
        <v>20</v>
      </c>
      <c r="C1413" s="11" t="s">
        <v>37</v>
      </c>
      <c r="D1413" s="11">
        <v>796.94</v>
      </c>
      <c r="E1413" s="11">
        <v>4</v>
      </c>
      <c r="F1413" s="11">
        <v>3187.76</v>
      </c>
      <c r="G1413" s="12">
        <v>45484</v>
      </c>
      <c r="H1413" s="12">
        <v>45410</v>
      </c>
      <c r="I1413" t="e">
        <f t="shared" si="22"/>
        <v>#NUM!</v>
      </c>
    </row>
    <row r="1414" spans="1:9" x14ac:dyDescent="0.3">
      <c r="A1414" s="11">
        <v>16862</v>
      </c>
      <c r="B1414" s="11" t="s">
        <v>13</v>
      </c>
      <c r="C1414" s="11" t="s">
        <v>74</v>
      </c>
      <c r="D1414" s="11">
        <v>346.4</v>
      </c>
      <c r="E1414" s="11">
        <v>44</v>
      </c>
      <c r="F1414" s="11">
        <v>15241.6</v>
      </c>
      <c r="G1414" s="12">
        <v>45211</v>
      </c>
      <c r="H1414" s="12">
        <v>44995</v>
      </c>
      <c r="I1414" t="e">
        <f t="shared" si="22"/>
        <v>#NUM!</v>
      </c>
    </row>
    <row r="1415" spans="1:9" x14ac:dyDescent="0.3">
      <c r="A1415" s="11">
        <v>67055</v>
      </c>
      <c r="B1415" s="11" t="s">
        <v>16</v>
      </c>
      <c r="C1415" s="11" t="s">
        <v>48</v>
      </c>
      <c r="D1415" s="11">
        <v>93.68</v>
      </c>
      <c r="E1415" s="11">
        <v>32</v>
      </c>
      <c r="F1415" s="11">
        <v>2997.76</v>
      </c>
      <c r="G1415" s="12">
        <v>45526</v>
      </c>
      <c r="H1415" s="12">
        <v>45605</v>
      </c>
      <c r="I1415">
        <f t="shared" si="22"/>
        <v>1</v>
      </c>
    </row>
    <row r="1416" spans="1:9" x14ac:dyDescent="0.3">
      <c r="A1416" s="11">
        <v>42033</v>
      </c>
      <c r="B1416" s="11" t="s">
        <v>11</v>
      </c>
      <c r="C1416" s="11" t="s">
        <v>63</v>
      </c>
      <c r="D1416" s="11">
        <v>611.66</v>
      </c>
      <c r="E1416" s="11">
        <v>5</v>
      </c>
      <c r="F1416" s="11">
        <v>3058.3</v>
      </c>
      <c r="G1416" s="12">
        <v>45247</v>
      </c>
      <c r="H1416" s="12">
        <v>45411</v>
      </c>
      <c r="I1416">
        <f t="shared" si="22"/>
        <v>1</v>
      </c>
    </row>
    <row r="1417" spans="1:9" x14ac:dyDescent="0.3">
      <c r="A1417" s="11">
        <v>75091</v>
      </c>
      <c r="B1417" s="11" t="s">
        <v>12</v>
      </c>
      <c r="C1417" s="11" t="s">
        <v>46</v>
      </c>
      <c r="D1417" s="11">
        <v>617.33000000000004</v>
      </c>
      <c r="E1417" s="11">
        <v>40</v>
      </c>
      <c r="F1417" s="11">
        <v>24693.200000000001</v>
      </c>
      <c r="G1417" s="12">
        <v>45334</v>
      </c>
      <c r="H1417" s="12">
        <v>45164</v>
      </c>
      <c r="I1417" t="e">
        <f t="shared" si="22"/>
        <v>#NUM!</v>
      </c>
    </row>
    <row r="1418" spans="1:9" x14ac:dyDescent="0.3">
      <c r="A1418" s="11">
        <v>87336</v>
      </c>
      <c r="B1418" s="11" t="s">
        <v>15</v>
      </c>
      <c r="C1418" s="11" t="s">
        <v>67</v>
      </c>
      <c r="D1418" s="11">
        <v>402.36</v>
      </c>
      <c r="E1418" s="11">
        <v>10</v>
      </c>
      <c r="F1418" s="11">
        <v>4023.6</v>
      </c>
      <c r="G1418" s="12">
        <v>45429</v>
      </c>
      <c r="H1418" s="12">
        <v>45154</v>
      </c>
      <c r="I1418" t="e">
        <f t="shared" si="22"/>
        <v>#NUM!</v>
      </c>
    </row>
    <row r="1419" spans="1:9" x14ac:dyDescent="0.3">
      <c r="A1419" s="11">
        <v>10677</v>
      </c>
      <c r="B1419" s="11" t="s">
        <v>20</v>
      </c>
      <c r="C1419" s="11" t="s">
        <v>33</v>
      </c>
      <c r="D1419" s="11">
        <v>622.16</v>
      </c>
      <c r="E1419" s="11">
        <v>2</v>
      </c>
      <c r="F1419" s="11">
        <v>1244.32</v>
      </c>
      <c r="G1419" s="12">
        <v>45494</v>
      </c>
      <c r="H1419" s="12">
        <v>45082</v>
      </c>
      <c r="I1419" t="e">
        <f t="shared" si="22"/>
        <v>#NUM!</v>
      </c>
    </row>
    <row r="1420" spans="1:9" x14ac:dyDescent="0.3">
      <c r="A1420" s="11">
        <v>78242</v>
      </c>
      <c r="B1420" s="11" t="s">
        <v>25</v>
      </c>
      <c r="C1420" s="11" t="s">
        <v>32</v>
      </c>
      <c r="D1420" s="11">
        <v>546.64</v>
      </c>
      <c r="E1420" s="11">
        <v>21</v>
      </c>
      <c r="F1420" s="11">
        <v>11479.44</v>
      </c>
      <c r="G1420" s="12">
        <v>45512</v>
      </c>
      <c r="H1420" s="12">
        <v>45523</v>
      </c>
      <c r="I1420">
        <f t="shared" si="22"/>
        <v>0</v>
      </c>
    </row>
    <row r="1421" spans="1:9" x14ac:dyDescent="0.3">
      <c r="A1421" s="11">
        <v>32517</v>
      </c>
      <c r="B1421" s="11" t="s">
        <v>13</v>
      </c>
      <c r="C1421" s="11" t="s">
        <v>64</v>
      </c>
      <c r="D1421" s="11">
        <v>796.51</v>
      </c>
      <c r="E1421" s="11">
        <v>12</v>
      </c>
      <c r="F1421" s="11">
        <v>9558.1200000000008</v>
      </c>
      <c r="G1421" s="12">
        <v>45666</v>
      </c>
      <c r="H1421" s="12">
        <v>45295</v>
      </c>
      <c r="I1421" t="e">
        <f t="shared" si="22"/>
        <v>#NUM!</v>
      </c>
    </row>
    <row r="1422" spans="1:9" x14ac:dyDescent="0.3">
      <c r="A1422" s="11">
        <v>67333</v>
      </c>
      <c r="B1422" s="11" t="s">
        <v>22</v>
      </c>
      <c r="C1422" s="11" t="s">
        <v>30</v>
      </c>
      <c r="D1422" s="11">
        <v>68.05</v>
      </c>
      <c r="E1422" s="11">
        <v>11</v>
      </c>
      <c r="F1422" s="11">
        <v>748.55</v>
      </c>
      <c r="G1422" s="12">
        <v>44966</v>
      </c>
      <c r="H1422" s="12">
        <v>45433</v>
      </c>
      <c r="I1422">
        <f t="shared" si="22"/>
        <v>1</v>
      </c>
    </row>
    <row r="1423" spans="1:9" x14ac:dyDescent="0.3">
      <c r="A1423" s="11">
        <v>23012</v>
      </c>
      <c r="B1423" s="11" t="s">
        <v>27</v>
      </c>
      <c r="C1423" s="11" t="s">
        <v>31</v>
      </c>
      <c r="D1423" s="11">
        <v>449.74</v>
      </c>
      <c r="E1423" s="11">
        <v>42</v>
      </c>
      <c r="F1423" s="11">
        <v>18889.080000000002</v>
      </c>
      <c r="G1423" s="12">
        <v>45405</v>
      </c>
      <c r="H1423" s="12">
        <v>45247</v>
      </c>
      <c r="I1423" t="e">
        <f t="shared" si="22"/>
        <v>#NUM!</v>
      </c>
    </row>
    <row r="1424" spans="1:9" x14ac:dyDescent="0.3">
      <c r="A1424" s="11">
        <v>81450</v>
      </c>
      <c r="B1424" s="11" t="s">
        <v>9</v>
      </c>
      <c r="C1424" s="11" t="s">
        <v>50</v>
      </c>
      <c r="D1424" s="11">
        <v>468.95</v>
      </c>
      <c r="E1424" s="11">
        <v>31</v>
      </c>
      <c r="F1424" s="11">
        <v>14537.45</v>
      </c>
      <c r="G1424" s="12">
        <v>45435</v>
      </c>
      <c r="H1424" s="12">
        <v>45525</v>
      </c>
      <c r="I1424">
        <f t="shared" si="22"/>
        <v>1</v>
      </c>
    </row>
    <row r="1425" spans="1:9" x14ac:dyDescent="0.3">
      <c r="A1425" s="11">
        <v>15321</v>
      </c>
      <c r="B1425" s="11" t="s">
        <v>25</v>
      </c>
      <c r="C1425" s="11" t="s">
        <v>72</v>
      </c>
      <c r="D1425" s="11">
        <v>913.18</v>
      </c>
      <c r="E1425" s="11">
        <v>18</v>
      </c>
      <c r="F1425" s="11">
        <v>16437.240000000002</v>
      </c>
      <c r="G1425" s="12">
        <v>45505</v>
      </c>
      <c r="H1425" s="12">
        <v>45097</v>
      </c>
      <c r="I1425" t="e">
        <f t="shared" si="22"/>
        <v>#NUM!</v>
      </c>
    </row>
    <row r="1426" spans="1:9" x14ac:dyDescent="0.3">
      <c r="A1426" s="11">
        <v>78135</v>
      </c>
      <c r="B1426" s="11" t="s">
        <v>22</v>
      </c>
      <c r="C1426" s="11" t="s">
        <v>50</v>
      </c>
      <c r="D1426" s="11">
        <v>468.95</v>
      </c>
      <c r="E1426" s="11">
        <v>19</v>
      </c>
      <c r="F1426" s="11">
        <v>8910.0499999999993</v>
      </c>
      <c r="G1426" s="12">
        <v>45460</v>
      </c>
      <c r="H1426" s="12">
        <v>45234</v>
      </c>
      <c r="I1426" t="e">
        <f t="shared" si="22"/>
        <v>#NUM!</v>
      </c>
    </row>
    <row r="1427" spans="1:9" x14ac:dyDescent="0.3">
      <c r="A1427" s="11">
        <v>15324</v>
      </c>
      <c r="B1427" s="11" t="s">
        <v>11</v>
      </c>
      <c r="C1427" s="11" t="s">
        <v>28</v>
      </c>
      <c r="D1427" s="11">
        <v>855.99</v>
      </c>
      <c r="E1427" s="11">
        <v>19</v>
      </c>
      <c r="F1427" s="11">
        <v>16263.81</v>
      </c>
      <c r="G1427" s="12">
        <v>45033</v>
      </c>
      <c r="H1427" s="12">
        <v>45172</v>
      </c>
      <c r="I1427">
        <f t="shared" si="22"/>
        <v>1</v>
      </c>
    </row>
    <row r="1428" spans="1:9" x14ac:dyDescent="0.3">
      <c r="A1428" s="11">
        <v>81835</v>
      </c>
      <c r="B1428" s="11" t="s">
        <v>17</v>
      </c>
      <c r="C1428" s="11" t="s">
        <v>60</v>
      </c>
      <c r="D1428" s="11">
        <v>184.57</v>
      </c>
      <c r="E1428" s="11">
        <v>14</v>
      </c>
      <c r="F1428" s="11">
        <v>2583.98</v>
      </c>
      <c r="G1428" s="12">
        <v>45501</v>
      </c>
      <c r="H1428" s="12">
        <v>45112</v>
      </c>
      <c r="I1428" t="e">
        <f t="shared" si="22"/>
        <v>#NUM!</v>
      </c>
    </row>
    <row r="1429" spans="1:9" x14ac:dyDescent="0.3">
      <c r="A1429" s="11">
        <v>73029</v>
      </c>
      <c r="B1429" s="11" t="s">
        <v>20</v>
      </c>
      <c r="C1429" s="11" t="s">
        <v>67</v>
      </c>
      <c r="D1429" s="11">
        <v>402.36</v>
      </c>
      <c r="E1429" s="11">
        <v>49</v>
      </c>
      <c r="F1429" s="11">
        <v>19715.64</v>
      </c>
      <c r="G1429" s="12">
        <v>45303</v>
      </c>
      <c r="H1429" s="12">
        <v>45506</v>
      </c>
      <c r="I1429">
        <f t="shared" si="22"/>
        <v>1</v>
      </c>
    </row>
    <row r="1430" spans="1:9" x14ac:dyDescent="0.3">
      <c r="A1430" s="11">
        <v>88449</v>
      </c>
      <c r="B1430" s="11" t="s">
        <v>10</v>
      </c>
      <c r="C1430" s="11" t="s">
        <v>28</v>
      </c>
      <c r="D1430" s="11">
        <v>855.99</v>
      </c>
      <c r="E1430" s="11">
        <v>11</v>
      </c>
      <c r="F1430" s="11">
        <v>9415.89</v>
      </c>
      <c r="G1430" s="12">
        <v>45034</v>
      </c>
      <c r="H1430" s="12">
        <v>45331</v>
      </c>
      <c r="I1430">
        <f t="shared" si="22"/>
        <v>1</v>
      </c>
    </row>
    <row r="1431" spans="1:9" x14ac:dyDescent="0.3">
      <c r="A1431" s="11">
        <v>78095</v>
      </c>
      <c r="B1431" s="11" t="s">
        <v>20</v>
      </c>
      <c r="C1431" s="11" t="s">
        <v>73</v>
      </c>
      <c r="D1431" s="11">
        <v>890.84</v>
      </c>
      <c r="E1431" s="11">
        <v>10</v>
      </c>
      <c r="F1431" s="11">
        <v>8908.4</v>
      </c>
      <c r="G1431" s="12">
        <v>45243</v>
      </c>
      <c r="H1431" s="12">
        <v>45171</v>
      </c>
      <c r="I1431" t="e">
        <f t="shared" si="22"/>
        <v>#NUM!</v>
      </c>
    </row>
    <row r="1432" spans="1:9" x14ac:dyDescent="0.3">
      <c r="A1432" s="11">
        <v>32299</v>
      </c>
      <c r="B1432" s="11" t="s">
        <v>8</v>
      </c>
      <c r="C1432" s="11" t="s">
        <v>32</v>
      </c>
      <c r="D1432" s="11">
        <v>546.64</v>
      </c>
      <c r="E1432" s="11">
        <v>16</v>
      </c>
      <c r="F1432" s="11">
        <v>8746.24</v>
      </c>
      <c r="G1432" s="12">
        <v>45450</v>
      </c>
      <c r="H1432" s="12">
        <v>45554</v>
      </c>
      <c r="I1432">
        <f t="shared" si="22"/>
        <v>1</v>
      </c>
    </row>
    <row r="1433" spans="1:9" x14ac:dyDescent="0.3">
      <c r="A1433" s="11">
        <v>82588</v>
      </c>
      <c r="B1433" s="11" t="s">
        <v>8</v>
      </c>
      <c r="C1433" s="11" t="s">
        <v>50</v>
      </c>
      <c r="D1433" s="11">
        <v>468.95</v>
      </c>
      <c r="E1433" s="11">
        <v>5</v>
      </c>
      <c r="F1433" s="11">
        <v>2344.75</v>
      </c>
      <c r="G1433" s="12">
        <v>44982</v>
      </c>
      <c r="H1433" s="12">
        <v>45535</v>
      </c>
      <c r="I1433">
        <f t="shared" si="22"/>
        <v>1</v>
      </c>
    </row>
    <row r="1434" spans="1:9" x14ac:dyDescent="0.3">
      <c r="A1434" s="11">
        <v>27476</v>
      </c>
      <c r="B1434" s="11" t="s">
        <v>11</v>
      </c>
      <c r="C1434" s="11" t="s">
        <v>65</v>
      </c>
      <c r="D1434" s="11">
        <v>753.12</v>
      </c>
      <c r="E1434" s="11">
        <v>11</v>
      </c>
      <c r="F1434" s="11">
        <v>8284.32</v>
      </c>
      <c r="G1434" s="12">
        <v>45475</v>
      </c>
      <c r="H1434" s="12">
        <v>44994</v>
      </c>
      <c r="I1434" t="e">
        <f t="shared" si="22"/>
        <v>#NUM!</v>
      </c>
    </row>
    <row r="1435" spans="1:9" x14ac:dyDescent="0.3">
      <c r="A1435" s="11">
        <v>61176</v>
      </c>
      <c r="B1435" s="11" t="s">
        <v>10</v>
      </c>
      <c r="C1435" s="11" t="s">
        <v>29</v>
      </c>
      <c r="D1435" s="11">
        <v>683.98</v>
      </c>
      <c r="E1435" s="11">
        <v>4</v>
      </c>
      <c r="F1435" s="11">
        <v>2735.92</v>
      </c>
      <c r="G1435" s="12">
        <v>45194</v>
      </c>
      <c r="H1435" s="12">
        <v>45137</v>
      </c>
      <c r="I1435" t="e">
        <f t="shared" si="22"/>
        <v>#NUM!</v>
      </c>
    </row>
    <row r="1436" spans="1:9" x14ac:dyDescent="0.3">
      <c r="A1436" s="11">
        <v>66688</v>
      </c>
      <c r="B1436" s="11" t="s">
        <v>9</v>
      </c>
      <c r="C1436" s="11" t="s">
        <v>75</v>
      </c>
      <c r="D1436" s="11">
        <v>325</v>
      </c>
      <c r="E1436" s="11">
        <v>37</v>
      </c>
      <c r="F1436" s="11">
        <v>12025</v>
      </c>
      <c r="G1436" s="12">
        <v>45676</v>
      </c>
      <c r="H1436" s="12">
        <v>45428</v>
      </c>
      <c r="I1436" t="e">
        <f t="shared" si="22"/>
        <v>#NUM!</v>
      </c>
    </row>
    <row r="1437" spans="1:9" x14ac:dyDescent="0.3">
      <c r="A1437" s="11">
        <v>50468</v>
      </c>
      <c r="B1437" s="11" t="s">
        <v>16</v>
      </c>
      <c r="C1437" s="11" t="s">
        <v>52</v>
      </c>
      <c r="D1437" s="11">
        <v>323.73</v>
      </c>
      <c r="E1437" s="11">
        <v>25</v>
      </c>
      <c r="F1437" s="11">
        <v>8093.25</v>
      </c>
      <c r="G1437" s="12">
        <v>44957</v>
      </c>
      <c r="H1437" s="12">
        <v>45013</v>
      </c>
      <c r="I1437">
        <f t="shared" si="22"/>
        <v>1</v>
      </c>
    </row>
    <row r="1438" spans="1:9" x14ac:dyDescent="0.3">
      <c r="A1438" s="11">
        <v>91843</v>
      </c>
      <c r="B1438" s="11" t="s">
        <v>12</v>
      </c>
      <c r="C1438" s="11" t="s">
        <v>73</v>
      </c>
      <c r="D1438" s="11">
        <v>890.84</v>
      </c>
      <c r="E1438" s="11">
        <v>17</v>
      </c>
      <c r="F1438" s="11">
        <v>15144.28</v>
      </c>
      <c r="G1438" s="12">
        <v>45189</v>
      </c>
      <c r="H1438" s="12">
        <v>45281</v>
      </c>
      <c r="I1438">
        <f t="shared" si="22"/>
        <v>1</v>
      </c>
    </row>
    <row r="1439" spans="1:9" x14ac:dyDescent="0.3">
      <c r="A1439" s="11">
        <v>53759</v>
      </c>
      <c r="B1439" s="11" t="s">
        <v>26</v>
      </c>
      <c r="C1439" s="11" t="s">
        <v>61</v>
      </c>
      <c r="D1439" s="11">
        <v>705.68</v>
      </c>
      <c r="E1439" s="11">
        <v>3</v>
      </c>
      <c r="F1439" s="11">
        <v>2117.04</v>
      </c>
      <c r="G1439" s="12">
        <v>45391</v>
      </c>
      <c r="H1439" s="12">
        <v>44969</v>
      </c>
      <c r="I1439" t="e">
        <f t="shared" si="22"/>
        <v>#NUM!</v>
      </c>
    </row>
    <row r="1440" spans="1:9" x14ac:dyDescent="0.3">
      <c r="A1440" s="11">
        <v>66542</v>
      </c>
      <c r="B1440" s="11" t="s">
        <v>16</v>
      </c>
      <c r="C1440" s="11" t="s">
        <v>31</v>
      </c>
      <c r="D1440" s="11">
        <v>449.74</v>
      </c>
      <c r="E1440" s="11">
        <v>11</v>
      </c>
      <c r="F1440" s="11">
        <v>4947.1400000000003</v>
      </c>
      <c r="G1440" s="12">
        <v>45486</v>
      </c>
      <c r="H1440" s="12">
        <v>45168</v>
      </c>
      <c r="I1440" t="e">
        <f t="shared" si="22"/>
        <v>#NUM!</v>
      </c>
    </row>
    <row r="1441" spans="1:9" x14ac:dyDescent="0.3">
      <c r="A1441" s="11">
        <v>36606</v>
      </c>
      <c r="B1441" s="11" t="s">
        <v>24</v>
      </c>
      <c r="C1441" s="11" t="s">
        <v>35</v>
      </c>
      <c r="D1441" s="11">
        <v>101.12</v>
      </c>
      <c r="E1441" s="11">
        <v>46</v>
      </c>
      <c r="F1441" s="11">
        <v>4651.5200000000004</v>
      </c>
      <c r="G1441" s="12">
        <v>45600</v>
      </c>
      <c r="H1441" s="12">
        <v>45433</v>
      </c>
      <c r="I1441" t="e">
        <f t="shared" si="22"/>
        <v>#NUM!</v>
      </c>
    </row>
    <row r="1442" spans="1:9" x14ac:dyDescent="0.3">
      <c r="A1442" s="11">
        <v>99261</v>
      </c>
      <c r="B1442" s="11" t="s">
        <v>22</v>
      </c>
      <c r="C1442" s="11" t="s">
        <v>70</v>
      </c>
      <c r="D1442" s="11">
        <v>430.1</v>
      </c>
      <c r="E1442" s="11">
        <v>30</v>
      </c>
      <c r="F1442" s="11">
        <v>12903</v>
      </c>
      <c r="G1442" s="12">
        <v>44958</v>
      </c>
      <c r="H1442" s="12">
        <v>45171</v>
      </c>
      <c r="I1442">
        <f t="shared" si="22"/>
        <v>1</v>
      </c>
    </row>
    <row r="1443" spans="1:9" x14ac:dyDescent="0.3">
      <c r="A1443" s="11">
        <v>73064</v>
      </c>
      <c r="B1443" s="11" t="s">
        <v>15</v>
      </c>
      <c r="C1443" s="11" t="s">
        <v>32</v>
      </c>
      <c r="D1443" s="11">
        <v>546.64</v>
      </c>
      <c r="E1443" s="11">
        <v>4</v>
      </c>
      <c r="F1443" s="11">
        <v>2186.56</v>
      </c>
      <c r="G1443" s="12">
        <v>45331</v>
      </c>
      <c r="H1443" s="12">
        <v>45396</v>
      </c>
      <c r="I1443">
        <f t="shared" si="22"/>
        <v>1</v>
      </c>
    </row>
    <row r="1444" spans="1:9" x14ac:dyDescent="0.3">
      <c r="A1444" s="11">
        <v>97788</v>
      </c>
      <c r="B1444" s="11" t="s">
        <v>18</v>
      </c>
      <c r="C1444" s="11" t="s">
        <v>59</v>
      </c>
      <c r="D1444" s="11">
        <v>346.37</v>
      </c>
      <c r="E1444" s="11">
        <v>46</v>
      </c>
      <c r="F1444" s="11">
        <v>15933.02</v>
      </c>
      <c r="G1444" s="12">
        <v>45649</v>
      </c>
      <c r="H1444" s="12">
        <v>45011</v>
      </c>
      <c r="I1444" t="e">
        <f t="shared" si="22"/>
        <v>#NUM!</v>
      </c>
    </row>
    <row r="1445" spans="1:9" x14ac:dyDescent="0.3">
      <c r="A1445" s="11">
        <v>87317</v>
      </c>
      <c r="B1445" s="11" t="s">
        <v>13</v>
      </c>
      <c r="C1445" s="11" t="s">
        <v>36</v>
      </c>
      <c r="D1445" s="11">
        <v>596.97</v>
      </c>
      <c r="E1445" s="11">
        <v>7</v>
      </c>
      <c r="F1445" s="11">
        <v>4178.79</v>
      </c>
      <c r="G1445" s="12">
        <v>45490</v>
      </c>
      <c r="H1445" s="12">
        <v>45606</v>
      </c>
      <c r="I1445">
        <f t="shared" si="22"/>
        <v>1</v>
      </c>
    </row>
    <row r="1446" spans="1:9" x14ac:dyDescent="0.3">
      <c r="A1446" s="11">
        <v>91642</v>
      </c>
      <c r="B1446" s="11" t="s">
        <v>9</v>
      </c>
      <c r="C1446" s="11" t="s">
        <v>37</v>
      </c>
      <c r="D1446" s="11">
        <v>796.94</v>
      </c>
      <c r="E1446" s="11">
        <v>22</v>
      </c>
      <c r="F1446" s="11">
        <v>17532.68</v>
      </c>
      <c r="G1446" s="12">
        <v>45256</v>
      </c>
      <c r="H1446" s="12">
        <v>45336</v>
      </c>
      <c r="I1446">
        <f t="shared" si="22"/>
        <v>1</v>
      </c>
    </row>
    <row r="1447" spans="1:9" x14ac:dyDescent="0.3">
      <c r="A1447" s="11">
        <v>80708</v>
      </c>
      <c r="B1447" s="11" t="s">
        <v>10</v>
      </c>
      <c r="C1447" s="11" t="s">
        <v>66</v>
      </c>
      <c r="D1447" s="11">
        <v>45.72</v>
      </c>
      <c r="E1447" s="11">
        <v>14</v>
      </c>
      <c r="F1447" s="11">
        <v>640.08000000000004</v>
      </c>
      <c r="G1447" s="12">
        <v>44965</v>
      </c>
      <c r="H1447" s="12">
        <v>45134</v>
      </c>
      <c r="I1447">
        <f t="shared" si="22"/>
        <v>1</v>
      </c>
    </row>
    <row r="1448" spans="1:9" x14ac:dyDescent="0.3">
      <c r="A1448" s="11">
        <v>78423</v>
      </c>
      <c r="B1448" s="11" t="s">
        <v>20</v>
      </c>
      <c r="C1448" s="11" t="s">
        <v>34</v>
      </c>
      <c r="D1448" s="11">
        <v>222.47</v>
      </c>
      <c r="E1448" s="11">
        <v>45</v>
      </c>
      <c r="F1448" s="11">
        <v>10011.15</v>
      </c>
      <c r="G1448" s="12">
        <v>45337</v>
      </c>
      <c r="H1448" s="12">
        <v>45284</v>
      </c>
      <c r="I1448" t="e">
        <f t="shared" si="22"/>
        <v>#NUM!</v>
      </c>
    </row>
    <row r="1449" spans="1:9" x14ac:dyDescent="0.3">
      <c r="A1449" s="11">
        <v>50373</v>
      </c>
      <c r="B1449" s="11" t="s">
        <v>21</v>
      </c>
      <c r="C1449" s="11" t="s">
        <v>28</v>
      </c>
      <c r="D1449" s="11">
        <v>855.99</v>
      </c>
      <c r="E1449" s="11">
        <v>10</v>
      </c>
      <c r="F1449" s="11">
        <v>8559.9</v>
      </c>
      <c r="G1449" s="12">
        <v>45511</v>
      </c>
      <c r="H1449" s="12">
        <v>45032</v>
      </c>
      <c r="I1449" t="e">
        <f t="shared" si="22"/>
        <v>#NUM!</v>
      </c>
    </row>
    <row r="1450" spans="1:9" x14ac:dyDescent="0.3">
      <c r="A1450" s="11">
        <v>79173</v>
      </c>
      <c r="B1450" s="11" t="s">
        <v>27</v>
      </c>
      <c r="C1450" s="11" t="s">
        <v>41</v>
      </c>
      <c r="D1450" s="11">
        <v>110.41</v>
      </c>
      <c r="E1450" s="11">
        <v>19</v>
      </c>
      <c r="F1450" s="11">
        <v>2097.79</v>
      </c>
      <c r="G1450" s="12">
        <v>45540</v>
      </c>
      <c r="H1450" s="12">
        <v>45225</v>
      </c>
      <c r="I1450" t="e">
        <f t="shared" si="22"/>
        <v>#NUM!</v>
      </c>
    </row>
    <row r="1451" spans="1:9" x14ac:dyDescent="0.3">
      <c r="A1451" s="11">
        <v>77444</v>
      </c>
      <c r="B1451" s="11" t="s">
        <v>27</v>
      </c>
      <c r="C1451" s="11" t="s">
        <v>72</v>
      </c>
      <c r="D1451" s="11">
        <v>913.18</v>
      </c>
      <c r="E1451" s="11">
        <v>45</v>
      </c>
      <c r="F1451" s="11">
        <v>41093.1</v>
      </c>
      <c r="G1451" s="12">
        <v>45218</v>
      </c>
      <c r="H1451" s="12">
        <v>45445</v>
      </c>
      <c r="I1451">
        <f t="shared" si="22"/>
        <v>1</v>
      </c>
    </row>
    <row r="1452" spans="1:9" x14ac:dyDescent="0.3">
      <c r="A1452" s="11">
        <v>76784</v>
      </c>
      <c r="B1452" s="11" t="s">
        <v>8</v>
      </c>
      <c r="C1452" s="11" t="s">
        <v>71</v>
      </c>
      <c r="D1452" s="11">
        <v>870.6</v>
      </c>
      <c r="E1452" s="11">
        <v>30</v>
      </c>
      <c r="F1452" s="11">
        <v>26118</v>
      </c>
      <c r="G1452" s="12">
        <v>45044</v>
      </c>
      <c r="H1452" s="12">
        <v>45287</v>
      </c>
      <c r="I1452">
        <f t="shared" si="22"/>
        <v>1</v>
      </c>
    </row>
    <row r="1453" spans="1:9" x14ac:dyDescent="0.3">
      <c r="A1453" s="11">
        <v>79443</v>
      </c>
      <c r="B1453" s="11" t="s">
        <v>23</v>
      </c>
      <c r="C1453" s="11" t="s">
        <v>52</v>
      </c>
      <c r="D1453" s="11">
        <v>323.73</v>
      </c>
      <c r="E1453" s="11">
        <v>44</v>
      </c>
      <c r="F1453" s="11">
        <v>14244.12</v>
      </c>
      <c r="G1453" s="12">
        <v>45386</v>
      </c>
      <c r="H1453" s="12">
        <v>45418</v>
      </c>
      <c r="I1453">
        <f t="shared" si="22"/>
        <v>1</v>
      </c>
    </row>
    <row r="1454" spans="1:9" x14ac:dyDescent="0.3">
      <c r="A1454" s="11">
        <v>11132</v>
      </c>
      <c r="B1454" s="11" t="s">
        <v>14</v>
      </c>
      <c r="C1454" s="11" t="s">
        <v>67</v>
      </c>
      <c r="D1454" s="11">
        <v>402.36</v>
      </c>
      <c r="E1454" s="11">
        <v>12</v>
      </c>
      <c r="F1454" s="11">
        <v>4828.32</v>
      </c>
      <c r="G1454" s="12">
        <v>45155</v>
      </c>
      <c r="H1454" s="12">
        <v>44969</v>
      </c>
      <c r="I1454" t="e">
        <f t="shared" si="22"/>
        <v>#NUM!</v>
      </c>
    </row>
    <row r="1455" spans="1:9" x14ac:dyDescent="0.3">
      <c r="A1455" s="11">
        <v>33474</v>
      </c>
      <c r="B1455" s="11" t="s">
        <v>14</v>
      </c>
      <c r="C1455" s="11" t="s">
        <v>74</v>
      </c>
      <c r="D1455" s="11">
        <v>346.4</v>
      </c>
      <c r="E1455" s="11">
        <v>35</v>
      </c>
      <c r="F1455" s="11">
        <v>12124</v>
      </c>
      <c r="G1455" s="12">
        <v>45409</v>
      </c>
      <c r="H1455" s="12">
        <v>45064</v>
      </c>
      <c r="I1455" t="e">
        <f t="shared" si="22"/>
        <v>#NUM!</v>
      </c>
    </row>
    <row r="1456" spans="1:9" x14ac:dyDescent="0.3">
      <c r="A1456" s="11">
        <v>45215</v>
      </c>
      <c r="B1456" s="11" t="s">
        <v>11</v>
      </c>
      <c r="C1456" s="11" t="s">
        <v>45</v>
      </c>
      <c r="D1456" s="11">
        <v>366.3</v>
      </c>
      <c r="E1456" s="11">
        <v>9</v>
      </c>
      <c r="F1456" s="11">
        <v>3296.7</v>
      </c>
      <c r="G1456" s="12">
        <v>45133</v>
      </c>
      <c r="H1456" s="12">
        <v>45301</v>
      </c>
      <c r="I1456">
        <f t="shared" si="22"/>
        <v>1</v>
      </c>
    </row>
    <row r="1457" spans="1:9" x14ac:dyDescent="0.3">
      <c r="A1457" s="11">
        <v>59465</v>
      </c>
      <c r="B1457" s="11" t="s">
        <v>12</v>
      </c>
      <c r="C1457" s="11" t="s">
        <v>59</v>
      </c>
      <c r="D1457" s="11">
        <v>346.37</v>
      </c>
      <c r="E1457" s="11">
        <v>5</v>
      </c>
      <c r="F1457" s="11">
        <v>1731.85</v>
      </c>
      <c r="G1457" s="12">
        <v>45323</v>
      </c>
      <c r="H1457" s="12">
        <v>45503</v>
      </c>
      <c r="I1457">
        <f t="shared" si="22"/>
        <v>1</v>
      </c>
    </row>
    <row r="1458" spans="1:9" x14ac:dyDescent="0.3">
      <c r="A1458" s="11">
        <v>36992</v>
      </c>
      <c r="B1458" s="11" t="s">
        <v>13</v>
      </c>
      <c r="C1458" s="11" t="s">
        <v>56</v>
      </c>
      <c r="D1458" s="11">
        <v>641.34</v>
      </c>
      <c r="E1458" s="11">
        <v>31</v>
      </c>
      <c r="F1458" s="11">
        <v>19881.54</v>
      </c>
      <c r="G1458" s="12">
        <v>45031</v>
      </c>
      <c r="H1458" s="12">
        <v>45057</v>
      </c>
      <c r="I1458">
        <f t="shared" si="22"/>
        <v>1</v>
      </c>
    </row>
    <row r="1459" spans="1:9" x14ac:dyDescent="0.3">
      <c r="A1459" s="11">
        <v>79034</v>
      </c>
      <c r="B1459" s="11" t="s">
        <v>13</v>
      </c>
      <c r="C1459" s="11" t="s">
        <v>63</v>
      </c>
      <c r="D1459" s="11">
        <v>611.66</v>
      </c>
      <c r="E1459" s="11">
        <v>48</v>
      </c>
      <c r="F1459" s="11">
        <v>29359.68</v>
      </c>
      <c r="G1459" s="12">
        <v>45572</v>
      </c>
      <c r="H1459" s="12">
        <v>44998</v>
      </c>
      <c r="I1459" t="e">
        <f t="shared" si="22"/>
        <v>#NUM!</v>
      </c>
    </row>
    <row r="1460" spans="1:9" x14ac:dyDescent="0.3">
      <c r="A1460" s="11">
        <v>47550</v>
      </c>
      <c r="B1460" s="11" t="s">
        <v>11</v>
      </c>
      <c r="C1460" s="11" t="s">
        <v>68</v>
      </c>
      <c r="D1460" s="11">
        <v>795.19</v>
      </c>
      <c r="E1460" s="11">
        <v>27</v>
      </c>
      <c r="F1460" s="11">
        <v>21470.13</v>
      </c>
      <c r="G1460" s="12">
        <v>45565</v>
      </c>
      <c r="H1460" s="12">
        <v>45626</v>
      </c>
      <c r="I1460">
        <f t="shared" si="22"/>
        <v>1</v>
      </c>
    </row>
    <row r="1461" spans="1:9" x14ac:dyDescent="0.3">
      <c r="A1461" s="11">
        <v>41255</v>
      </c>
      <c r="B1461" s="11" t="s">
        <v>10</v>
      </c>
      <c r="C1461" s="11" t="s">
        <v>54</v>
      </c>
      <c r="D1461" s="11">
        <v>730.09</v>
      </c>
      <c r="E1461" s="11">
        <v>46</v>
      </c>
      <c r="F1461" s="11">
        <v>33584.14</v>
      </c>
      <c r="G1461" s="12">
        <v>45410</v>
      </c>
      <c r="H1461" s="12">
        <v>45471</v>
      </c>
      <c r="I1461">
        <f t="shared" si="22"/>
        <v>1</v>
      </c>
    </row>
    <row r="1462" spans="1:9" x14ac:dyDescent="0.3">
      <c r="A1462" s="11">
        <v>43961</v>
      </c>
      <c r="B1462" s="11" t="s">
        <v>15</v>
      </c>
      <c r="C1462" s="11" t="s">
        <v>31</v>
      </c>
      <c r="D1462" s="11">
        <v>449.74</v>
      </c>
      <c r="E1462" s="11">
        <v>41</v>
      </c>
      <c r="F1462" s="11">
        <v>18439.34</v>
      </c>
      <c r="G1462" s="12">
        <v>45468</v>
      </c>
      <c r="H1462" s="12">
        <v>45085</v>
      </c>
      <c r="I1462" t="e">
        <f t="shared" si="22"/>
        <v>#NUM!</v>
      </c>
    </row>
    <row r="1463" spans="1:9" x14ac:dyDescent="0.3">
      <c r="A1463" s="11">
        <v>80233</v>
      </c>
      <c r="B1463" s="11" t="s">
        <v>20</v>
      </c>
      <c r="C1463" s="11" t="s">
        <v>68</v>
      </c>
      <c r="D1463" s="11">
        <v>795.19</v>
      </c>
      <c r="E1463" s="11">
        <v>31</v>
      </c>
      <c r="F1463" s="11">
        <v>24650.89</v>
      </c>
      <c r="G1463" s="12">
        <v>45039</v>
      </c>
      <c r="H1463" s="12">
        <v>45437</v>
      </c>
      <c r="I1463">
        <f t="shared" si="22"/>
        <v>1</v>
      </c>
    </row>
    <row r="1464" spans="1:9" x14ac:dyDescent="0.3">
      <c r="A1464" s="11">
        <v>42775</v>
      </c>
      <c r="B1464" s="11" t="s">
        <v>18</v>
      </c>
      <c r="C1464" s="11" t="s">
        <v>47</v>
      </c>
      <c r="D1464" s="11">
        <v>682.74</v>
      </c>
      <c r="E1464" s="11">
        <v>21</v>
      </c>
      <c r="F1464" s="11">
        <v>14337.54</v>
      </c>
      <c r="G1464" s="12">
        <v>45643</v>
      </c>
      <c r="H1464" s="12">
        <v>45477</v>
      </c>
      <c r="I1464" t="e">
        <f t="shared" si="22"/>
        <v>#NUM!</v>
      </c>
    </row>
    <row r="1465" spans="1:9" x14ac:dyDescent="0.3">
      <c r="A1465" s="11">
        <v>51232</v>
      </c>
      <c r="B1465" s="11" t="s">
        <v>23</v>
      </c>
      <c r="C1465" s="11" t="s">
        <v>41</v>
      </c>
      <c r="D1465" s="11">
        <v>110.41</v>
      </c>
      <c r="E1465" s="11">
        <v>13</v>
      </c>
      <c r="F1465" s="11">
        <v>1435.33</v>
      </c>
      <c r="G1465" s="12">
        <v>45233</v>
      </c>
      <c r="H1465" s="12">
        <v>45653</v>
      </c>
      <c r="I1465">
        <f t="shared" si="22"/>
        <v>1</v>
      </c>
    </row>
    <row r="1466" spans="1:9" x14ac:dyDescent="0.3">
      <c r="A1466" s="11">
        <v>33591</v>
      </c>
      <c r="B1466" s="11" t="s">
        <v>14</v>
      </c>
      <c r="C1466" s="11" t="s">
        <v>40</v>
      </c>
      <c r="D1466" s="11">
        <v>875.47</v>
      </c>
      <c r="E1466" s="11">
        <v>8</v>
      </c>
      <c r="F1466" s="11">
        <v>7003.76</v>
      </c>
      <c r="G1466" s="12">
        <v>45467</v>
      </c>
      <c r="H1466" s="12">
        <v>45169</v>
      </c>
      <c r="I1466" t="e">
        <f t="shared" si="22"/>
        <v>#NUM!</v>
      </c>
    </row>
    <row r="1467" spans="1:9" x14ac:dyDescent="0.3">
      <c r="A1467" s="11">
        <v>38337</v>
      </c>
      <c r="B1467" s="11" t="s">
        <v>9</v>
      </c>
      <c r="C1467" s="11" t="s">
        <v>35</v>
      </c>
      <c r="D1467" s="11">
        <v>101.12</v>
      </c>
      <c r="E1467" s="11">
        <v>26</v>
      </c>
      <c r="F1467" s="11">
        <v>2629.12</v>
      </c>
      <c r="G1467" s="12">
        <v>45142</v>
      </c>
      <c r="H1467" s="12">
        <v>45049</v>
      </c>
      <c r="I1467" t="e">
        <f t="shared" si="22"/>
        <v>#NUM!</v>
      </c>
    </row>
    <row r="1468" spans="1:9" x14ac:dyDescent="0.3">
      <c r="A1468" s="11">
        <v>23581</v>
      </c>
      <c r="B1468" s="11" t="s">
        <v>26</v>
      </c>
      <c r="C1468" s="11" t="s">
        <v>51</v>
      </c>
      <c r="D1468" s="11">
        <v>533.15</v>
      </c>
      <c r="E1468" s="11">
        <v>26</v>
      </c>
      <c r="F1468" s="11">
        <v>13861.9</v>
      </c>
      <c r="G1468" s="12">
        <v>45445</v>
      </c>
      <c r="H1468" s="12">
        <v>45065</v>
      </c>
      <c r="I1468" t="e">
        <f t="shared" si="22"/>
        <v>#NUM!</v>
      </c>
    </row>
    <row r="1469" spans="1:9" x14ac:dyDescent="0.3">
      <c r="A1469" s="11">
        <v>98888</v>
      </c>
      <c r="B1469" s="11" t="s">
        <v>13</v>
      </c>
      <c r="C1469" s="11" t="s">
        <v>34</v>
      </c>
      <c r="D1469" s="11">
        <v>222.47</v>
      </c>
      <c r="E1469" s="11">
        <v>21</v>
      </c>
      <c r="F1469" s="11">
        <v>4671.87</v>
      </c>
      <c r="G1469" s="12">
        <v>45070</v>
      </c>
      <c r="H1469" s="12">
        <v>45515</v>
      </c>
      <c r="I1469">
        <f t="shared" si="22"/>
        <v>1</v>
      </c>
    </row>
    <row r="1470" spans="1:9" x14ac:dyDescent="0.3">
      <c r="A1470" s="11">
        <v>60931</v>
      </c>
      <c r="B1470" s="11" t="s">
        <v>27</v>
      </c>
      <c r="C1470" s="11" t="s">
        <v>63</v>
      </c>
      <c r="D1470" s="11">
        <v>611.66</v>
      </c>
      <c r="E1470" s="11">
        <v>17</v>
      </c>
      <c r="F1470" s="11">
        <v>10398.219999999999</v>
      </c>
      <c r="G1470" s="12">
        <v>45240</v>
      </c>
      <c r="H1470" s="12">
        <v>45542</v>
      </c>
      <c r="I1470">
        <f t="shared" si="22"/>
        <v>1</v>
      </c>
    </row>
    <row r="1471" spans="1:9" x14ac:dyDescent="0.3">
      <c r="A1471" s="11">
        <v>67242</v>
      </c>
      <c r="B1471" s="11" t="s">
        <v>16</v>
      </c>
      <c r="C1471" s="11" t="s">
        <v>75</v>
      </c>
      <c r="D1471" s="11">
        <v>325</v>
      </c>
      <c r="E1471" s="11">
        <v>5</v>
      </c>
      <c r="F1471" s="11">
        <v>1625</v>
      </c>
      <c r="G1471" s="12">
        <v>44949</v>
      </c>
      <c r="H1471" s="12">
        <v>45495</v>
      </c>
      <c r="I1471">
        <f t="shared" si="22"/>
        <v>1</v>
      </c>
    </row>
    <row r="1472" spans="1:9" x14ac:dyDescent="0.3">
      <c r="A1472" s="11">
        <v>61943</v>
      </c>
      <c r="B1472" s="11" t="s">
        <v>12</v>
      </c>
      <c r="C1472" s="11" t="s">
        <v>52</v>
      </c>
      <c r="D1472" s="11">
        <v>323.73</v>
      </c>
      <c r="E1472" s="11">
        <v>28</v>
      </c>
      <c r="F1472" s="11">
        <v>9064.44</v>
      </c>
      <c r="G1472" s="12">
        <v>45440</v>
      </c>
      <c r="H1472" s="12">
        <v>45112</v>
      </c>
      <c r="I1472" t="e">
        <f t="shared" si="22"/>
        <v>#NUM!</v>
      </c>
    </row>
    <row r="1473" spans="1:9" x14ac:dyDescent="0.3">
      <c r="A1473" s="11">
        <v>15552</v>
      </c>
      <c r="B1473" s="11" t="s">
        <v>8</v>
      </c>
      <c r="C1473" s="11" t="s">
        <v>69</v>
      </c>
      <c r="D1473" s="11">
        <v>158.66999999999999</v>
      </c>
      <c r="E1473" s="11">
        <v>2</v>
      </c>
      <c r="F1473" s="11">
        <v>317.33999999999997</v>
      </c>
      <c r="G1473" s="12">
        <v>45433</v>
      </c>
      <c r="H1473" s="12">
        <v>45131</v>
      </c>
      <c r="I1473" t="e">
        <f t="shared" si="22"/>
        <v>#NUM!</v>
      </c>
    </row>
    <row r="1474" spans="1:9" x14ac:dyDescent="0.3">
      <c r="A1474" s="11">
        <v>41164</v>
      </c>
      <c r="B1474" s="11" t="s">
        <v>9</v>
      </c>
      <c r="C1474" s="11" t="s">
        <v>49</v>
      </c>
      <c r="D1474" s="11">
        <v>534.77</v>
      </c>
      <c r="E1474" s="11">
        <v>11</v>
      </c>
      <c r="F1474" s="11">
        <v>5882.47</v>
      </c>
      <c r="G1474" s="12">
        <v>45487</v>
      </c>
      <c r="H1474" s="12">
        <v>45472</v>
      </c>
      <c r="I1474" t="e">
        <f t="shared" si="22"/>
        <v>#NUM!</v>
      </c>
    </row>
    <row r="1475" spans="1:9" x14ac:dyDescent="0.3">
      <c r="A1475" s="11">
        <v>93170</v>
      </c>
      <c r="B1475" s="11" t="s">
        <v>17</v>
      </c>
      <c r="C1475" s="11" t="s">
        <v>62</v>
      </c>
      <c r="D1475" s="11">
        <v>474.55</v>
      </c>
      <c r="E1475" s="11">
        <v>50</v>
      </c>
      <c r="F1475" s="11">
        <v>23727.5</v>
      </c>
      <c r="G1475" s="12">
        <v>45340</v>
      </c>
      <c r="H1475" s="12">
        <v>44973</v>
      </c>
      <c r="I1475" t="e">
        <f t="shared" ref="I1475:I1501" si="23">IF(DATEDIF(G1475,H1475,"d") &gt; 15,1,0)</f>
        <v>#NUM!</v>
      </c>
    </row>
    <row r="1476" spans="1:9" x14ac:dyDescent="0.3">
      <c r="A1476" s="11">
        <v>34681</v>
      </c>
      <c r="B1476" s="11" t="s">
        <v>17</v>
      </c>
      <c r="C1476" s="11" t="s">
        <v>36</v>
      </c>
      <c r="D1476" s="11">
        <v>596.97</v>
      </c>
      <c r="E1476" s="11">
        <v>19</v>
      </c>
      <c r="F1476" s="11">
        <v>11342.43</v>
      </c>
      <c r="G1476" s="12">
        <v>45650</v>
      </c>
      <c r="H1476" s="12">
        <v>45032</v>
      </c>
      <c r="I1476" t="e">
        <f t="shared" si="23"/>
        <v>#NUM!</v>
      </c>
    </row>
    <row r="1477" spans="1:9" x14ac:dyDescent="0.3">
      <c r="A1477" s="11">
        <v>68982</v>
      </c>
      <c r="B1477" s="11" t="s">
        <v>19</v>
      </c>
      <c r="C1477" s="11" t="s">
        <v>75</v>
      </c>
      <c r="D1477" s="11">
        <v>325</v>
      </c>
      <c r="E1477" s="11">
        <v>44</v>
      </c>
      <c r="F1477" s="11">
        <v>14300</v>
      </c>
      <c r="G1477" s="12">
        <v>44984</v>
      </c>
      <c r="H1477" s="12">
        <v>45093</v>
      </c>
      <c r="I1477">
        <f t="shared" si="23"/>
        <v>1</v>
      </c>
    </row>
    <row r="1478" spans="1:9" x14ac:dyDescent="0.3">
      <c r="A1478" s="11">
        <v>68202</v>
      </c>
      <c r="B1478" s="11" t="s">
        <v>19</v>
      </c>
      <c r="C1478" s="11" t="s">
        <v>68</v>
      </c>
      <c r="D1478" s="11">
        <v>795.19</v>
      </c>
      <c r="E1478" s="11">
        <v>22</v>
      </c>
      <c r="F1478" s="11">
        <v>17494.18</v>
      </c>
      <c r="G1478" s="12">
        <v>45418</v>
      </c>
      <c r="H1478" s="12">
        <v>45232</v>
      </c>
      <c r="I1478" t="e">
        <f t="shared" si="23"/>
        <v>#NUM!</v>
      </c>
    </row>
    <row r="1479" spans="1:9" x14ac:dyDescent="0.3">
      <c r="A1479" s="11">
        <v>94455</v>
      </c>
      <c r="B1479" s="11" t="s">
        <v>21</v>
      </c>
      <c r="C1479" s="11" t="s">
        <v>29</v>
      </c>
      <c r="D1479" s="11">
        <v>683.98</v>
      </c>
      <c r="E1479" s="11">
        <v>5</v>
      </c>
      <c r="F1479" s="11">
        <v>3419.9</v>
      </c>
      <c r="G1479" s="12">
        <v>45677</v>
      </c>
      <c r="H1479" s="12">
        <v>45437</v>
      </c>
      <c r="I1479" t="e">
        <f t="shared" si="23"/>
        <v>#NUM!</v>
      </c>
    </row>
    <row r="1480" spans="1:9" x14ac:dyDescent="0.3">
      <c r="A1480" s="11">
        <v>64474</v>
      </c>
      <c r="B1480" s="11" t="s">
        <v>24</v>
      </c>
      <c r="C1480" s="11" t="s">
        <v>32</v>
      </c>
      <c r="D1480" s="11">
        <v>546.64</v>
      </c>
      <c r="E1480" s="11">
        <v>2</v>
      </c>
      <c r="F1480" s="11">
        <v>1093.28</v>
      </c>
      <c r="G1480" s="12">
        <v>45644</v>
      </c>
      <c r="H1480" s="12">
        <v>45266</v>
      </c>
      <c r="I1480" t="e">
        <f t="shared" si="23"/>
        <v>#NUM!</v>
      </c>
    </row>
    <row r="1481" spans="1:9" x14ac:dyDescent="0.3">
      <c r="A1481" s="11">
        <v>48289</v>
      </c>
      <c r="B1481" s="11" t="s">
        <v>19</v>
      </c>
      <c r="C1481" s="11" t="s">
        <v>44</v>
      </c>
      <c r="D1481" s="11">
        <v>654.4</v>
      </c>
      <c r="E1481" s="11">
        <v>27</v>
      </c>
      <c r="F1481" s="11">
        <v>17668.8</v>
      </c>
      <c r="G1481" s="12">
        <v>45156</v>
      </c>
      <c r="H1481" s="12">
        <v>44982</v>
      </c>
      <c r="I1481" t="e">
        <f t="shared" si="23"/>
        <v>#NUM!</v>
      </c>
    </row>
    <row r="1482" spans="1:9" x14ac:dyDescent="0.3">
      <c r="A1482" s="11">
        <v>25710</v>
      </c>
      <c r="B1482" s="11" t="s">
        <v>14</v>
      </c>
      <c r="C1482" s="11" t="s">
        <v>67</v>
      </c>
      <c r="D1482" s="11">
        <v>402.36</v>
      </c>
      <c r="E1482" s="11">
        <v>16</v>
      </c>
      <c r="F1482" s="11">
        <v>6437.76</v>
      </c>
      <c r="G1482" s="12">
        <v>45619</v>
      </c>
      <c r="H1482" s="12">
        <v>45286</v>
      </c>
      <c r="I1482" t="e">
        <f t="shared" si="23"/>
        <v>#NUM!</v>
      </c>
    </row>
    <row r="1483" spans="1:9" x14ac:dyDescent="0.3">
      <c r="A1483" s="11">
        <v>19138</v>
      </c>
      <c r="B1483" s="11" t="s">
        <v>14</v>
      </c>
      <c r="C1483" s="11" t="s">
        <v>35</v>
      </c>
      <c r="D1483" s="11">
        <v>101.12</v>
      </c>
      <c r="E1483" s="11">
        <v>24</v>
      </c>
      <c r="F1483" s="11">
        <v>2426.88</v>
      </c>
      <c r="G1483" s="12">
        <v>44987</v>
      </c>
      <c r="H1483" s="12">
        <v>45246</v>
      </c>
      <c r="I1483">
        <f t="shared" si="23"/>
        <v>1</v>
      </c>
    </row>
    <row r="1484" spans="1:9" x14ac:dyDescent="0.3">
      <c r="A1484" s="11">
        <v>49170</v>
      </c>
      <c r="B1484" s="11" t="s">
        <v>26</v>
      </c>
      <c r="C1484" s="11" t="s">
        <v>55</v>
      </c>
      <c r="D1484" s="11">
        <v>399.32</v>
      </c>
      <c r="E1484" s="11">
        <v>2</v>
      </c>
      <c r="F1484" s="11">
        <v>798.64</v>
      </c>
      <c r="G1484" s="12">
        <v>45152</v>
      </c>
      <c r="H1484" s="12">
        <v>45375</v>
      </c>
      <c r="I1484">
        <f t="shared" si="23"/>
        <v>1</v>
      </c>
    </row>
    <row r="1485" spans="1:9" x14ac:dyDescent="0.3">
      <c r="A1485" s="11">
        <v>77555</v>
      </c>
      <c r="B1485" s="11" t="s">
        <v>18</v>
      </c>
      <c r="C1485" s="11" t="s">
        <v>67</v>
      </c>
      <c r="D1485" s="11">
        <v>402.36</v>
      </c>
      <c r="E1485" s="11">
        <v>42</v>
      </c>
      <c r="F1485" s="11">
        <v>16899.12</v>
      </c>
      <c r="G1485" s="12">
        <v>45317</v>
      </c>
      <c r="H1485" s="12">
        <v>45644</v>
      </c>
      <c r="I1485">
        <f t="shared" si="23"/>
        <v>1</v>
      </c>
    </row>
    <row r="1486" spans="1:9" x14ac:dyDescent="0.3">
      <c r="A1486" s="11">
        <v>58019</v>
      </c>
      <c r="B1486" s="11" t="s">
        <v>24</v>
      </c>
      <c r="C1486" s="11" t="s">
        <v>42</v>
      </c>
      <c r="D1486" s="11">
        <v>112.52</v>
      </c>
      <c r="E1486" s="11">
        <v>10</v>
      </c>
      <c r="F1486" s="11">
        <v>1125.2</v>
      </c>
      <c r="G1486" s="12">
        <v>45476</v>
      </c>
      <c r="H1486" s="12">
        <v>45194</v>
      </c>
      <c r="I1486" t="e">
        <f t="shared" si="23"/>
        <v>#NUM!</v>
      </c>
    </row>
    <row r="1487" spans="1:9" x14ac:dyDescent="0.3">
      <c r="A1487" s="11">
        <v>74853</v>
      </c>
      <c r="B1487" s="11" t="s">
        <v>25</v>
      </c>
      <c r="C1487" s="11" t="s">
        <v>65</v>
      </c>
      <c r="D1487" s="11">
        <v>753.12</v>
      </c>
      <c r="E1487" s="11">
        <v>38</v>
      </c>
      <c r="F1487" s="11">
        <v>28618.560000000001</v>
      </c>
      <c r="G1487" s="12">
        <v>45257</v>
      </c>
      <c r="H1487" s="12">
        <v>45581</v>
      </c>
      <c r="I1487">
        <f t="shared" si="23"/>
        <v>1</v>
      </c>
    </row>
    <row r="1488" spans="1:9" x14ac:dyDescent="0.3">
      <c r="A1488" s="11">
        <v>80172</v>
      </c>
      <c r="B1488" s="11" t="s">
        <v>26</v>
      </c>
      <c r="C1488" s="11" t="s">
        <v>51</v>
      </c>
      <c r="D1488" s="11">
        <v>533.15</v>
      </c>
      <c r="E1488" s="11">
        <v>33</v>
      </c>
      <c r="F1488" s="11">
        <v>17593.95</v>
      </c>
      <c r="G1488" s="12">
        <v>45093</v>
      </c>
      <c r="H1488" s="12">
        <v>45487</v>
      </c>
      <c r="I1488">
        <f t="shared" si="23"/>
        <v>1</v>
      </c>
    </row>
    <row r="1489" spans="1:9" x14ac:dyDescent="0.3">
      <c r="A1489" s="11">
        <v>24725</v>
      </c>
      <c r="B1489" s="11" t="s">
        <v>8</v>
      </c>
      <c r="C1489" s="11" t="s">
        <v>74</v>
      </c>
      <c r="D1489" s="11">
        <v>346.4</v>
      </c>
      <c r="E1489" s="11">
        <v>3</v>
      </c>
      <c r="F1489" s="11">
        <v>1039.2</v>
      </c>
      <c r="G1489" s="12">
        <v>45306</v>
      </c>
      <c r="H1489" s="12">
        <v>45393</v>
      </c>
      <c r="I1489">
        <f t="shared" si="23"/>
        <v>1</v>
      </c>
    </row>
    <row r="1490" spans="1:9" x14ac:dyDescent="0.3">
      <c r="A1490" s="11">
        <v>97468</v>
      </c>
      <c r="B1490" s="11" t="s">
        <v>18</v>
      </c>
      <c r="C1490" s="11" t="s">
        <v>55</v>
      </c>
      <c r="D1490" s="11">
        <v>399.32</v>
      </c>
      <c r="E1490" s="11">
        <v>29</v>
      </c>
      <c r="F1490" s="11">
        <v>11580.28</v>
      </c>
      <c r="G1490" s="12">
        <v>45606</v>
      </c>
      <c r="H1490" s="12">
        <v>45156</v>
      </c>
      <c r="I1490" t="e">
        <f t="shared" si="23"/>
        <v>#NUM!</v>
      </c>
    </row>
    <row r="1491" spans="1:9" x14ac:dyDescent="0.3">
      <c r="A1491" s="11">
        <v>80734</v>
      </c>
      <c r="B1491" s="11" t="s">
        <v>13</v>
      </c>
      <c r="C1491" s="11" t="s">
        <v>67</v>
      </c>
      <c r="D1491" s="11">
        <v>402.36</v>
      </c>
      <c r="E1491" s="11">
        <v>14</v>
      </c>
      <c r="F1491" s="11">
        <v>5633.04</v>
      </c>
      <c r="G1491" s="12">
        <v>45505</v>
      </c>
      <c r="H1491" s="12">
        <v>45549</v>
      </c>
      <c r="I1491">
        <f t="shared" si="23"/>
        <v>1</v>
      </c>
    </row>
    <row r="1492" spans="1:9" x14ac:dyDescent="0.3">
      <c r="A1492" s="11">
        <v>77629</v>
      </c>
      <c r="B1492" s="11" t="s">
        <v>9</v>
      </c>
      <c r="C1492" s="11" t="s">
        <v>65</v>
      </c>
      <c r="D1492" s="11">
        <v>753.12</v>
      </c>
      <c r="E1492" s="11">
        <v>35</v>
      </c>
      <c r="F1492" s="11">
        <v>26359.200000000001</v>
      </c>
      <c r="G1492" s="12">
        <v>45541</v>
      </c>
      <c r="H1492" s="12">
        <v>45116</v>
      </c>
      <c r="I1492" t="e">
        <f t="shared" si="23"/>
        <v>#NUM!</v>
      </c>
    </row>
    <row r="1493" spans="1:9" x14ac:dyDescent="0.3">
      <c r="A1493" s="11">
        <v>10795</v>
      </c>
      <c r="B1493" s="11" t="s">
        <v>10</v>
      </c>
      <c r="C1493" s="11" t="s">
        <v>54</v>
      </c>
      <c r="D1493" s="11">
        <v>730.09</v>
      </c>
      <c r="E1493" s="11">
        <v>4</v>
      </c>
      <c r="F1493" s="11">
        <v>2920.36</v>
      </c>
      <c r="G1493" s="12">
        <v>45047</v>
      </c>
      <c r="H1493" s="12">
        <v>45528</v>
      </c>
      <c r="I1493">
        <f t="shared" si="23"/>
        <v>1</v>
      </c>
    </row>
    <row r="1494" spans="1:9" x14ac:dyDescent="0.3">
      <c r="A1494" s="11">
        <v>50726</v>
      </c>
      <c r="B1494" s="11" t="s">
        <v>16</v>
      </c>
      <c r="C1494" s="11" t="s">
        <v>42</v>
      </c>
      <c r="D1494" s="11">
        <v>112.52</v>
      </c>
      <c r="E1494" s="11">
        <v>40</v>
      </c>
      <c r="F1494" s="11">
        <v>4500.8</v>
      </c>
      <c r="G1494" s="12">
        <v>45371</v>
      </c>
      <c r="H1494" s="12">
        <v>45395</v>
      </c>
      <c r="I1494">
        <f t="shared" si="23"/>
        <v>1</v>
      </c>
    </row>
    <row r="1495" spans="1:9" x14ac:dyDescent="0.3">
      <c r="A1495" s="11">
        <v>53063</v>
      </c>
      <c r="B1495" s="11" t="s">
        <v>16</v>
      </c>
      <c r="C1495" s="11" t="s">
        <v>54</v>
      </c>
      <c r="D1495" s="11">
        <v>730.09</v>
      </c>
      <c r="E1495" s="11">
        <v>45</v>
      </c>
      <c r="F1495" s="11">
        <v>32854.050000000003</v>
      </c>
      <c r="G1495" s="12">
        <v>45588</v>
      </c>
      <c r="H1495" s="12">
        <v>45412</v>
      </c>
      <c r="I1495" t="e">
        <f t="shared" si="23"/>
        <v>#NUM!</v>
      </c>
    </row>
    <row r="1496" spans="1:9" x14ac:dyDescent="0.3">
      <c r="A1496" s="11">
        <v>30854</v>
      </c>
      <c r="B1496" s="11" t="s">
        <v>23</v>
      </c>
      <c r="C1496" s="11" t="s">
        <v>65</v>
      </c>
      <c r="D1496" s="11">
        <v>753.12</v>
      </c>
      <c r="E1496" s="11">
        <v>37</v>
      </c>
      <c r="F1496" s="11">
        <v>27865.439999999999</v>
      </c>
      <c r="G1496" s="12">
        <v>45624</v>
      </c>
      <c r="H1496" s="12">
        <v>45614</v>
      </c>
      <c r="I1496" t="e">
        <f t="shared" si="23"/>
        <v>#NUM!</v>
      </c>
    </row>
    <row r="1497" spans="1:9" x14ac:dyDescent="0.3">
      <c r="A1497" s="11">
        <v>61183</v>
      </c>
      <c r="B1497" s="11" t="s">
        <v>19</v>
      </c>
      <c r="C1497" s="11" t="s">
        <v>75</v>
      </c>
      <c r="D1497" s="11">
        <v>325</v>
      </c>
      <c r="E1497" s="11">
        <v>35</v>
      </c>
      <c r="F1497" s="11">
        <v>11375</v>
      </c>
      <c r="G1497" s="12">
        <v>45387</v>
      </c>
      <c r="H1497" s="12">
        <v>45461</v>
      </c>
      <c r="I1497">
        <f t="shared" si="23"/>
        <v>1</v>
      </c>
    </row>
    <row r="1498" spans="1:9" x14ac:dyDescent="0.3">
      <c r="A1498" s="11">
        <v>93190</v>
      </c>
      <c r="B1498" s="11" t="s">
        <v>14</v>
      </c>
      <c r="C1498" s="11" t="s">
        <v>68</v>
      </c>
      <c r="D1498" s="11">
        <v>795.19</v>
      </c>
      <c r="E1498" s="11">
        <v>29</v>
      </c>
      <c r="F1498" s="11">
        <v>23060.51</v>
      </c>
      <c r="G1498" s="12">
        <v>44961</v>
      </c>
      <c r="H1498" s="12">
        <v>44949</v>
      </c>
      <c r="I1498" t="e">
        <f t="shared" si="23"/>
        <v>#NUM!</v>
      </c>
    </row>
    <row r="1499" spans="1:9" x14ac:dyDescent="0.3">
      <c r="A1499" s="11">
        <v>21951</v>
      </c>
      <c r="B1499" s="11" t="s">
        <v>16</v>
      </c>
      <c r="C1499" s="11" t="s">
        <v>61</v>
      </c>
      <c r="D1499" s="11">
        <v>705.68</v>
      </c>
      <c r="E1499" s="11">
        <v>29</v>
      </c>
      <c r="F1499" s="11">
        <v>20464.72</v>
      </c>
      <c r="G1499" s="12">
        <v>45277</v>
      </c>
      <c r="H1499" s="12">
        <v>45323</v>
      </c>
      <c r="I1499">
        <f t="shared" si="23"/>
        <v>1</v>
      </c>
    </row>
    <row r="1500" spans="1:9" x14ac:dyDescent="0.3">
      <c r="A1500" s="11">
        <v>81699</v>
      </c>
      <c r="B1500" s="11" t="s">
        <v>19</v>
      </c>
      <c r="C1500" s="11" t="s">
        <v>65</v>
      </c>
      <c r="D1500" s="11">
        <v>753.12</v>
      </c>
      <c r="E1500" s="11">
        <v>28</v>
      </c>
      <c r="F1500" s="11">
        <v>21087.360000000001</v>
      </c>
      <c r="G1500" s="12">
        <v>45632</v>
      </c>
      <c r="H1500" s="12">
        <v>45014</v>
      </c>
      <c r="I1500" t="e">
        <f t="shared" si="23"/>
        <v>#NUM!</v>
      </c>
    </row>
    <row r="1501" spans="1:9" x14ac:dyDescent="0.3">
      <c r="A1501" s="11">
        <v>35611</v>
      </c>
      <c r="B1501" s="11" t="s">
        <v>26</v>
      </c>
      <c r="C1501" s="11" t="s">
        <v>42</v>
      </c>
      <c r="D1501" s="11">
        <v>112.52</v>
      </c>
      <c r="E1501" s="11">
        <v>41</v>
      </c>
      <c r="F1501" s="11">
        <v>4613.32</v>
      </c>
      <c r="G1501" s="12">
        <v>45005</v>
      </c>
      <c r="H1501" s="12">
        <v>45309</v>
      </c>
      <c r="I1501">
        <f t="shared" si="23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zoomScale="76" workbookViewId="0">
      <selection activeCell="A6" sqref="A6"/>
    </sheetView>
  </sheetViews>
  <sheetFormatPr defaultRowHeight="14.4" x14ac:dyDescent="0.3"/>
  <cols>
    <col min="1" max="1" width="173.5546875" customWidth="1"/>
    <col min="2" max="2" width="14.44140625" bestFit="1" customWidth="1"/>
    <col min="3" max="3" width="11.109375" bestFit="1" customWidth="1"/>
    <col min="4" max="4" width="18.44140625" bestFit="1" customWidth="1"/>
    <col min="5" max="5" width="16.109375" bestFit="1" customWidth="1"/>
    <col min="6" max="6" width="18.109375" bestFit="1" customWidth="1"/>
    <col min="7" max="7" width="10.44140625" bestFit="1" customWidth="1"/>
    <col min="8" max="8" width="12.5546875" bestFit="1" customWidth="1"/>
    <col min="9" max="9" width="10.44140625" bestFit="1" customWidth="1"/>
  </cols>
  <sheetData>
    <row r="1" spans="1:6" ht="18" x14ac:dyDescent="0.35">
      <c r="A1" s="5" t="s">
        <v>147</v>
      </c>
    </row>
    <row r="2" spans="1:6" ht="18" x14ac:dyDescent="0.35">
      <c r="A2" s="4"/>
    </row>
    <row r="3" spans="1:6" ht="18" x14ac:dyDescent="0.3">
      <c r="A3" s="6" t="s">
        <v>148</v>
      </c>
      <c r="C3" s="18" t="s">
        <v>151</v>
      </c>
      <c r="D3" s="18" t="s">
        <v>150</v>
      </c>
      <c r="E3" s="18" t="s">
        <v>155</v>
      </c>
    </row>
    <row r="4" spans="1:6" ht="18" x14ac:dyDescent="0.35">
      <c r="A4" s="4"/>
      <c r="C4" s="19" t="s">
        <v>153</v>
      </c>
      <c r="D4" s="20">
        <v>880619.57</v>
      </c>
      <c r="E4" s="25">
        <v>71</v>
      </c>
    </row>
    <row r="5" spans="1:6" ht="18" x14ac:dyDescent="0.35">
      <c r="A5" s="4"/>
      <c r="B5" t="s">
        <v>168</v>
      </c>
      <c r="C5" s="19" t="s">
        <v>154</v>
      </c>
      <c r="D5" s="20">
        <v>726634.0299999998</v>
      </c>
      <c r="E5" s="25">
        <v>61</v>
      </c>
    </row>
    <row r="6" spans="1:6" ht="18" x14ac:dyDescent="0.3">
      <c r="A6" s="17" t="s">
        <v>139</v>
      </c>
      <c r="B6" s="20">
        <f>D6</f>
        <v>1607253.6</v>
      </c>
      <c r="C6" s="19" t="s">
        <v>152</v>
      </c>
      <c r="D6" s="20">
        <v>1607253.6</v>
      </c>
      <c r="E6" s="25">
        <v>132</v>
      </c>
    </row>
    <row r="7" spans="1:6" ht="18" x14ac:dyDescent="0.35">
      <c r="A7" s="4"/>
      <c r="B7" s="18">
        <f>E6</f>
        <v>132</v>
      </c>
    </row>
    <row r="8" spans="1:6" ht="18" x14ac:dyDescent="0.35">
      <c r="A8" s="4"/>
    </row>
    <row r="9" spans="1:6" ht="18" x14ac:dyDescent="0.3">
      <c r="A9" s="13" t="s">
        <v>140</v>
      </c>
      <c r="B9" s="14" t="str">
        <f>VLOOKUP(E10,Invoices!K3:L23,2,FALSE)</f>
        <v>Mcdaniel-Scott</v>
      </c>
      <c r="E9" s="14" t="s">
        <v>151</v>
      </c>
      <c r="F9" s="14" t="s">
        <v>150</v>
      </c>
    </row>
    <row r="10" spans="1:6" ht="18" x14ac:dyDescent="0.35">
      <c r="A10" s="4"/>
      <c r="B10" s="14" t="str">
        <f>VLOOKUP(E11,Invoices!K4:L24,2,FALSE)</f>
        <v>Cooper, Jones and Butler</v>
      </c>
      <c r="E10" s="15" t="s">
        <v>13</v>
      </c>
      <c r="F10" s="16">
        <v>1096389.1599999999</v>
      </c>
    </row>
    <row r="11" spans="1:6" ht="18" x14ac:dyDescent="0.35">
      <c r="A11" s="4"/>
      <c r="B11" s="14" t="str">
        <f>VLOOKUP(E12,Invoices!K5:L25,2,FALSE)</f>
        <v>Hudson Group</v>
      </c>
      <c r="E11" s="15" t="s">
        <v>15</v>
      </c>
      <c r="F11" s="16">
        <v>1083990.5400000003</v>
      </c>
    </row>
    <row r="12" spans="1:6" ht="18" x14ac:dyDescent="0.3">
      <c r="A12" s="21" t="s">
        <v>142</v>
      </c>
      <c r="E12" s="15" t="s">
        <v>16</v>
      </c>
      <c r="F12" s="16">
        <v>1080861.06</v>
      </c>
    </row>
    <row r="13" spans="1:6" ht="18" x14ac:dyDescent="0.35">
      <c r="A13" s="4"/>
      <c r="B13" s="22" t="s">
        <v>151</v>
      </c>
      <c r="C13" s="22" t="s">
        <v>156</v>
      </c>
      <c r="E13" s="15" t="s">
        <v>21</v>
      </c>
      <c r="F13" s="16">
        <v>1073409.9399999997</v>
      </c>
    </row>
    <row r="14" spans="1:6" ht="18" x14ac:dyDescent="0.35">
      <c r="A14" s="24" t="s">
        <v>167</v>
      </c>
      <c r="B14" s="23" t="s">
        <v>157</v>
      </c>
      <c r="C14" s="26">
        <v>2302</v>
      </c>
      <c r="E14" s="15" t="s">
        <v>26</v>
      </c>
      <c r="F14" s="16">
        <v>1072940.7899999998</v>
      </c>
    </row>
    <row r="15" spans="1:6" x14ac:dyDescent="0.3">
      <c r="B15" s="23" t="s">
        <v>158</v>
      </c>
      <c r="C15" s="26">
        <v>1529</v>
      </c>
      <c r="E15" s="15" t="s">
        <v>9</v>
      </c>
      <c r="F15" s="16">
        <v>1021409.4400000002</v>
      </c>
    </row>
    <row r="16" spans="1:6" x14ac:dyDescent="0.3">
      <c r="B16" s="23" t="s">
        <v>159</v>
      </c>
      <c r="C16" s="26">
        <v>1397</v>
      </c>
      <c r="E16" s="15" t="s">
        <v>23</v>
      </c>
      <c r="F16" s="16">
        <v>997037.74999999965</v>
      </c>
    </row>
    <row r="17" spans="1:6" x14ac:dyDescent="0.3">
      <c r="B17" s="23" t="s">
        <v>160</v>
      </c>
      <c r="C17" s="26">
        <v>1833</v>
      </c>
      <c r="E17" s="15" t="s">
        <v>22</v>
      </c>
      <c r="F17" s="16">
        <v>976391.43000000028</v>
      </c>
    </row>
    <row r="18" spans="1:6" x14ac:dyDescent="0.3">
      <c r="B18" s="23" t="s">
        <v>161</v>
      </c>
      <c r="C18" s="26">
        <v>1609</v>
      </c>
      <c r="E18" s="15" t="s">
        <v>18</v>
      </c>
      <c r="F18" s="16">
        <v>973132.22999999986</v>
      </c>
    </row>
    <row r="19" spans="1:6" x14ac:dyDescent="0.3">
      <c r="B19" s="23" t="s">
        <v>162</v>
      </c>
      <c r="C19" s="26">
        <v>1996</v>
      </c>
      <c r="E19" s="15" t="s">
        <v>12</v>
      </c>
      <c r="F19" s="16">
        <v>954427.49999999977</v>
      </c>
    </row>
    <row r="20" spans="1:6" x14ac:dyDescent="0.3">
      <c r="B20" s="23" t="s">
        <v>163</v>
      </c>
      <c r="C20" s="26">
        <v>2060</v>
      </c>
      <c r="E20" s="15" t="s">
        <v>25</v>
      </c>
      <c r="F20" s="16">
        <v>953052.74</v>
      </c>
    </row>
    <row r="21" spans="1:6" x14ac:dyDescent="0.3">
      <c r="B21" s="23" t="s">
        <v>164</v>
      </c>
      <c r="C21" s="26">
        <v>1529</v>
      </c>
      <c r="E21" s="15" t="s">
        <v>14</v>
      </c>
      <c r="F21" s="16">
        <v>938835.10000000009</v>
      </c>
    </row>
    <row r="22" spans="1:6" x14ac:dyDescent="0.3">
      <c r="B22" s="23" t="s">
        <v>165</v>
      </c>
      <c r="C22" s="26">
        <v>1205</v>
      </c>
      <c r="E22" s="15" t="s">
        <v>24</v>
      </c>
      <c r="F22" s="16">
        <v>914992.00999999989</v>
      </c>
    </row>
    <row r="23" spans="1:6" x14ac:dyDescent="0.3">
      <c r="B23" s="23" t="s">
        <v>166</v>
      </c>
      <c r="C23" s="26">
        <v>1573</v>
      </c>
      <c r="E23" s="15" t="s">
        <v>8</v>
      </c>
      <c r="F23" s="16">
        <v>877664.63000000012</v>
      </c>
    </row>
    <row r="24" spans="1:6" x14ac:dyDescent="0.3">
      <c r="B24" s="23" t="s">
        <v>153</v>
      </c>
      <c r="C24" s="26">
        <v>1517</v>
      </c>
      <c r="E24" s="15" t="s">
        <v>19</v>
      </c>
      <c r="F24" s="16">
        <v>871925.26000000013</v>
      </c>
    </row>
    <row r="25" spans="1:6" x14ac:dyDescent="0.3">
      <c r="B25" s="23" t="s">
        <v>154</v>
      </c>
      <c r="C25" s="26">
        <v>1289</v>
      </c>
      <c r="E25" s="15" t="s">
        <v>27</v>
      </c>
      <c r="F25" s="16">
        <v>861794.26</v>
      </c>
    </row>
    <row r="26" spans="1:6" x14ac:dyDescent="0.3">
      <c r="B26" s="23" t="s">
        <v>152</v>
      </c>
      <c r="C26" s="26">
        <v>19839</v>
      </c>
      <c r="E26" s="15" t="s">
        <v>11</v>
      </c>
      <c r="F26" s="16">
        <v>840692.62999999977</v>
      </c>
    </row>
    <row r="27" spans="1:6" x14ac:dyDescent="0.3">
      <c r="E27" s="15" t="s">
        <v>10</v>
      </c>
      <c r="F27" s="16">
        <v>811617.87000000023</v>
      </c>
    </row>
    <row r="28" spans="1:6" x14ac:dyDescent="0.3">
      <c r="E28" s="15" t="s">
        <v>17</v>
      </c>
      <c r="F28" s="16">
        <v>796163.77</v>
      </c>
    </row>
    <row r="29" spans="1:6" ht="18" x14ac:dyDescent="0.3">
      <c r="A29" s="28" t="s">
        <v>141</v>
      </c>
      <c r="B29" s="29">
        <f>COUNTIF(Invoices!I:I,1)</f>
        <v>694</v>
      </c>
      <c r="E29" s="15" t="s">
        <v>20</v>
      </c>
      <c r="F29" s="16">
        <v>737157.94</v>
      </c>
    </row>
    <row r="30" spans="1:6" ht="36" x14ac:dyDescent="0.35">
      <c r="A30" s="30" t="s">
        <v>170</v>
      </c>
      <c r="E30" s="15" t="s">
        <v>152</v>
      </c>
      <c r="F30" s="16">
        <v>18933886.050000004</v>
      </c>
    </row>
    <row r="39" spans="1:1" ht="18" x14ac:dyDescent="0.35">
      <c r="A39" s="4"/>
    </row>
    <row r="40" spans="1:1" ht="18" x14ac:dyDescent="0.35">
      <c r="A40" s="7" t="s">
        <v>143</v>
      </c>
    </row>
    <row r="41" spans="1:1" ht="18" x14ac:dyDescent="0.3">
      <c r="A41" s="8"/>
    </row>
    <row r="42" spans="1:1" ht="18" x14ac:dyDescent="0.3">
      <c r="A42" s="9" t="s">
        <v>144</v>
      </c>
    </row>
    <row r="43" spans="1:1" ht="18" x14ac:dyDescent="0.3">
      <c r="A43" s="8"/>
    </row>
    <row r="44" spans="1:1" ht="18" x14ac:dyDescent="0.3">
      <c r="A44" s="9" t="s">
        <v>145</v>
      </c>
    </row>
    <row r="45" spans="1:1" ht="18" x14ac:dyDescent="0.3">
      <c r="A45" s="8"/>
    </row>
    <row r="46" spans="1:1" ht="18" x14ac:dyDescent="0.3">
      <c r="A46" s="9" t="s">
        <v>146</v>
      </c>
    </row>
    <row r="47" spans="1:1" ht="18" x14ac:dyDescent="0.3">
      <c r="A47" s="8"/>
    </row>
    <row r="48" spans="1:1" ht="18" x14ac:dyDescent="0.3">
      <c r="A48" s="9" t="s">
        <v>149</v>
      </c>
    </row>
  </sheetData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Subu Karkada</dc:creator>
  <cp:lastModifiedBy>utsav shakya</cp:lastModifiedBy>
  <dcterms:created xsi:type="dcterms:W3CDTF">2025-01-21T00:16:29Z</dcterms:created>
  <dcterms:modified xsi:type="dcterms:W3CDTF">2025-01-25T04:56:42Z</dcterms:modified>
</cp:coreProperties>
</file>